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riel/Desktop/Notes Projects/Old Projects/Dawgma/0. Scouting/2018 Data/"/>
    </mc:Choice>
  </mc:AlternateContent>
  <bookViews>
    <workbookView xWindow="2440" yWindow="720" windowWidth="10900" windowHeight="14760" firstSheet="59" activeTab="63"/>
  </bookViews>
  <sheets>
    <sheet name="Match Planning" sheetId="259" r:id="rId1"/>
    <sheet name="Summary Statistics" sheetId="258" r:id="rId2"/>
    <sheet name="Picklisting" sheetId="257" r:id="rId3"/>
    <sheet name="Input" sheetId="886" r:id="rId4"/>
    <sheet name="11" sheetId="885" r:id="rId5"/>
    <sheet name="25" sheetId="884" r:id="rId6"/>
    <sheet name="41" sheetId="883" r:id="rId7"/>
    <sheet name="56" sheetId="882" r:id="rId8"/>
    <sheet name="75" sheetId="881" r:id="rId9"/>
    <sheet name="102" sheetId="880" r:id="rId10"/>
    <sheet name="103" sheetId="879" r:id="rId11"/>
    <sheet name="203" sheetId="878" r:id="rId12"/>
    <sheet name="219" sheetId="877" r:id="rId13"/>
    <sheet name="222" sheetId="876" r:id="rId14"/>
    <sheet name="223" sheetId="875" r:id="rId15"/>
    <sheet name="225" sheetId="874" r:id="rId16"/>
    <sheet name="272" sheetId="873" r:id="rId17"/>
    <sheet name="293" sheetId="872" r:id="rId18"/>
    <sheet name="303" sheetId="871" r:id="rId19"/>
    <sheet name="316" sheetId="870" r:id="rId20"/>
    <sheet name="321" sheetId="869" r:id="rId21"/>
    <sheet name="365" sheetId="868" r:id="rId22"/>
    <sheet name="433" sheetId="867" r:id="rId23"/>
    <sheet name="708" sheetId="866" r:id="rId24"/>
    <sheet name="747" sheetId="865" r:id="rId25"/>
    <sheet name="834" sheetId="864" r:id="rId26"/>
    <sheet name="1089" sheetId="863" r:id="rId27"/>
    <sheet name="1143" sheetId="862" r:id="rId28"/>
    <sheet name="1218" sheetId="861" r:id="rId29"/>
    <sheet name="1257" sheetId="860" r:id="rId30"/>
    <sheet name="1391" sheetId="859" r:id="rId31"/>
    <sheet name="1403" sheetId="858" r:id="rId32"/>
    <sheet name="1640" sheetId="857" r:id="rId33"/>
    <sheet name="1676" sheetId="856" r:id="rId34"/>
    <sheet name="1712" sheetId="855" r:id="rId35"/>
    <sheet name="1807" sheetId="854" r:id="rId36"/>
    <sheet name="1923" sheetId="853" r:id="rId37"/>
    <sheet name="1989" sheetId="852" r:id="rId38"/>
    <sheet name="2016" sheetId="851" r:id="rId39"/>
    <sheet name="2180" sheetId="850" r:id="rId40"/>
    <sheet name="2495" sheetId="849" r:id="rId41"/>
    <sheet name="2539" sheetId="848" r:id="rId42"/>
    <sheet name="2590" sheetId="847" r:id="rId43"/>
    <sheet name="2600" sheetId="846" r:id="rId44"/>
    <sheet name="2607" sheetId="845" r:id="rId45"/>
    <sheet name="2729" sheetId="844" r:id="rId46"/>
    <sheet name="3142" sheetId="843" r:id="rId47"/>
    <sheet name="3314" sheetId="842" r:id="rId48"/>
    <sheet name="3637" sheetId="841" r:id="rId49"/>
    <sheet name="3929" sheetId="840" r:id="rId50"/>
    <sheet name="3974" sheetId="887" r:id="rId51"/>
    <sheet name="4342" sheetId="839" r:id="rId52"/>
    <sheet name="4361" sheetId="838" r:id="rId53"/>
    <sheet name="4653" sheetId="837" r:id="rId54"/>
    <sheet name="5401" sheetId="836" r:id="rId55"/>
    <sheet name="5404" sheetId="835" r:id="rId56"/>
    <sheet name="5407" sheetId="834" r:id="rId57"/>
    <sheet name="5420" sheetId="833" r:id="rId58"/>
    <sheet name="5895" sheetId="832" r:id="rId59"/>
    <sheet name="5992" sheetId="831" r:id="rId60"/>
    <sheet name="6203" sheetId="830" r:id="rId61"/>
    <sheet name="6860" sheetId="829" r:id="rId62"/>
    <sheet name="6945" sheetId="828" r:id="rId63"/>
    <sheet name="1168" sheetId="889" r:id="rId6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2" i="865" l="1"/>
  <c r="E3" i="259"/>
  <c r="E4" i="259"/>
  <c r="T21" i="259"/>
  <c r="Q21" i="259"/>
  <c r="N21" i="259"/>
  <c r="K21" i="259"/>
  <c r="H21" i="259"/>
  <c r="E21" i="259"/>
  <c r="Y61" i="258"/>
  <c r="H93" i="889"/>
  <c r="F93" i="889"/>
  <c r="D93" i="889"/>
  <c r="B93" i="889"/>
  <c r="H92" i="889"/>
  <c r="F92" i="889"/>
  <c r="D92" i="889"/>
  <c r="B92" i="889"/>
  <c r="H91" i="889"/>
  <c r="F91" i="889"/>
  <c r="D91" i="889"/>
  <c r="B91" i="889"/>
  <c r="H90" i="889"/>
  <c r="F90" i="889"/>
  <c r="D90" i="889"/>
  <c r="B90" i="889"/>
  <c r="H89" i="889"/>
  <c r="F89" i="889"/>
  <c r="D89" i="889"/>
  <c r="B89" i="889"/>
  <c r="H88" i="889"/>
  <c r="F88" i="889"/>
  <c r="D88" i="889"/>
  <c r="B88" i="889"/>
  <c r="H87" i="889"/>
  <c r="F87" i="889"/>
  <c r="D87" i="889"/>
  <c r="B87" i="889"/>
  <c r="H86" i="889"/>
  <c r="F86" i="889"/>
  <c r="D86" i="889"/>
  <c r="B86" i="889"/>
  <c r="H85" i="889"/>
  <c r="F85" i="889"/>
  <c r="D85" i="889"/>
  <c r="B85" i="889"/>
  <c r="H84" i="889"/>
  <c r="F84" i="889"/>
  <c r="D84" i="889"/>
  <c r="B84" i="889"/>
  <c r="H83" i="889"/>
  <c r="F83" i="889"/>
  <c r="D83" i="889"/>
  <c r="B83" i="889"/>
  <c r="H82" i="889"/>
  <c r="F82" i="889"/>
  <c r="D82" i="889"/>
  <c r="B82" i="889"/>
  <c r="H93" i="828"/>
  <c r="F93" i="828"/>
  <c r="D93" i="828"/>
  <c r="B93" i="828"/>
  <c r="H92" i="828"/>
  <c r="F92" i="828"/>
  <c r="D92" i="828"/>
  <c r="B92" i="828"/>
  <c r="H91" i="828"/>
  <c r="F91" i="828"/>
  <c r="D91" i="828"/>
  <c r="B91" i="828"/>
  <c r="H90" i="828"/>
  <c r="F90" i="828"/>
  <c r="D90" i="828"/>
  <c r="B90" i="828"/>
  <c r="H89" i="828"/>
  <c r="F89" i="828"/>
  <c r="D89" i="828"/>
  <c r="B89" i="828"/>
  <c r="H88" i="828"/>
  <c r="F88" i="828"/>
  <c r="D88" i="828"/>
  <c r="B88" i="828"/>
  <c r="H87" i="828"/>
  <c r="F87" i="828"/>
  <c r="D87" i="828"/>
  <c r="B87" i="828"/>
  <c r="H86" i="828"/>
  <c r="F86" i="828"/>
  <c r="D86" i="828"/>
  <c r="B86" i="828"/>
  <c r="H85" i="828"/>
  <c r="F85" i="828"/>
  <c r="D85" i="828"/>
  <c r="B85" i="828"/>
  <c r="H84" i="828"/>
  <c r="F84" i="828"/>
  <c r="D84" i="828"/>
  <c r="B84" i="828"/>
  <c r="H83" i="828"/>
  <c r="F83" i="828"/>
  <c r="D83" i="828"/>
  <c r="B83" i="828"/>
  <c r="H82" i="828"/>
  <c r="F82" i="828"/>
  <c r="D82" i="828"/>
  <c r="B82" i="828"/>
  <c r="H93" i="829"/>
  <c r="F93" i="829"/>
  <c r="D93" i="829"/>
  <c r="B93" i="829"/>
  <c r="H92" i="829"/>
  <c r="F92" i="829"/>
  <c r="D92" i="829"/>
  <c r="B92" i="829"/>
  <c r="H91" i="829"/>
  <c r="F91" i="829"/>
  <c r="D91" i="829"/>
  <c r="B91" i="829"/>
  <c r="H90" i="829"/>
  <c r="F90" i="829"/>
  <c r="D90" i="829"/>
  <c r="B90" i="829"/>
  <c r="H89" i="829"/>
  <c r="F89" i="829"/>
  <c r="D89" i="829"/>
  <c r="B89" i="829"/>
  <c r="H88" i="829"/>
  <c r="F88" i="829"/>
  <c r="D88" i="829"/>
  <c r="B88" i="829"/>
  <c r="H87" i="829"/>
  <c r="F87" i="829"/>
  <c r="D87" i="829"/>
  <c r="B87" i="829"/>
  <c r="H86" i="829"/>
  <c r="F86" i="829"/>
  <c r="D86" i="829"/>
  <c r="B86" i="829"/>
  <c r="H85" i="829"/>
  <c r="F85" i="829"/>
  <c r="D85" i="829"/>
  <c r="B85" i="829"/>
  <c r="H84" i="829"/>
  <c r="F84" i="829"/>
  <c r="D84" i="829"/>
  <c r="B84" i="829"/>
  <c r="H83" i="829"/>
  <c r="F83" i="829"/>
  <c r="D83" i="829"/>
  <c r="B83" i="829"/>
  <c r="H82" i="829"/>
  <c r="F82" i="829"/>
  <c r="D82" i="829"/>
  <c r="B82" i="829"/>
  <c r="H93" i="830"/>
  <c r="F93" i="830"/>
  <c r="D93" i="830"/>
  <c r="B93" i="830"/>
  <c r="H92" i="830"/>
  <c r="F92" i="830"/>
  <c r="D92" i="830"/>
  <c r="B92" i="830"/>
  <c r="H91" i="830"/>
  <c r="F91" i="830"/>
  <c r="D91" i="830"/>
  <c r="B91" i="830"/>
  <c r="H90" i="830"/>
  <c r="F90" i="830"/>
  <c r="D90" i="830"/>
  <c r="B90" i="830"/>
  <c r="H89" i="830"/>
  <c r="F89" i="830"/>
  <c r="D89" i="830"/>
  <c r="B89" i="830"/>
  <c r="H88" i="830"/>
  <c r="F88" i="830"/>
  <c r="D88" i="830"/>
  <c r="B88" i="830"/>
  <c r="H87" i="830"/>
  <c r="F87" i="830"/>
  <c r="D87" i="830"/>
  <c r="B87" i="830"/>
  <c r="H86" i="830"/>
  <c r="F86" i="830"/>
  <c r="D86" i="830"/>
  <c r="B86" i="830"/>
  <c r="H85" i="830"/>
  <c r="F85" i="830"/>
  <c r="D85" i="830"/>
  <c r="B85" i="830"/>
  <c r="H84" i="830"/>
  <c r="F84" i="830"/>
  <c r="D84" i="830"/>
  <c r="B84" i="830"/>
  <c r="H83" i="830"/>
  <c r="F83" i="830"/>
  <c r="D83" i="830"/>
  <c r="B83" i="830"/>
  <c r="H82" i="830"/>
  <c r="F82" i="830"/>
  <c r="D82" i="830"/>
  <c r="B82" i="830"/>
  <c r="H93" i="831"/>
  <c r="F93" i="831"/>
  <c r="D93" i="831"/>
  <c r="B93" i="831"/>
  <c r="H92" i="831"/>
  <c r="F92" i="831"/>
  <c r="D92" i="831"/>
  <c r="B92" i="831"/>
  <c r="H91" i="831"/>
  <c r="F91" i="831"/>
  <c r="D91" i="831"/>
  <c r="B91" i="831"/>
  <c r="H90" i="831"/>
  <c r="F90" i="831"/>
  <c r="D90" i="831"/>
  <c r="B90" i="831"/>
  <c r="H89" i="831"/>
  <c r="F89" i="831"/>
  <c r="D89" i="831"/>
  <c r="B89" i="831"/>
  <c r="H88" i="831"/>
  <c r="F88" i="831"/>
  <c r="D88" i="831"/>
  <c r="B88" i="831"/>
  <c r="H87" i="831"/>
  <c r="F87" i="831"/>
  <c r="D87" i="831"/>
  <c r="B87" i="831"/>
  <c r="H86" i="831"/>
  <c r="F86" i="831"/>
  <c r="D86" i="831"/>
  <c r="B86" i="831"/>
  <c r="H85" i="831"/>
  <c r="F85" i="831"/>
  <c r="D85" i="831"/>
  <c r="B85" i="831"/>
  <c r="H84" i="831"/>
  <c r="F84" i="831"/>
  <c r="D84" i="831"/>
  <c r="B84" i="831"/>
  <c r="H83" i="831"/>
  <c r="F83" i="831"/>
  <c r="D83" i="831"/>
  <c r="B83" i="831"/>
  <c r="H82" i="831"/>
  <c r="F82" i="831"/>
  <c r="D82" i="831"/>
  <c r="B82" i="831"/>
  <c r="H93" i="832"/>
  <c r="F93" i="832"/>
  <c r="D93" i="832"/>
  <c r="B93" i="832"/>
  <c r="H92" i="832"/>
  <c r="F92" i="832"/>
  <c r="D92" i="832"/>
  <c r="B92" i="832"/>
  <c r="H91" i="832"/>
  <c r="F91" i="832"/>
  <c r="D91" i="832"/>
  <c r="B91" i="832"/>
  <c r="H90" i="832"/>
  <c r="F90" i="832"/>
  <c r="D90" i="832"/>
  <c r="B90" i="832"/>
  <c r="H89" i="832"/>
  <c r="F89" i="832"/>
  <c r="D89" i="832"/>
  <c r="B89" i="832"/>
  <c r="H88" i="832"/>
  <c r="F88" i="832"/>
  <c r="D88" i="832"/>
  <c r="B88" i="832"/>
  <c r="H87" i="832"/>
  <c r="F87" i="832"/>
  <c r="D87" i="832"/>
  <c r="B87" i="832"/>
  <c r="H86" i="832"/>
  <c r="F86" i="832"/>
  <c r="D86" i="832"/>
  <c r="B86" i="832"/>
  <c r="H85" i="832"/>
  <c r="F85" i="832"/>
  <c r="D85" i="832"/>
  <c r="B85" i="832"/>
  <c r="H84" i="832"/>
  <c r="F84" i="832"/>
  <c r="D84" i="832"/>
  <c r="B84" i="832"/>
  <c r="H83" i="832"/>
  <c r="F83" i="832"/>
  <c r="D83" i="832"/>
  <c r="B83" i="832"/>
  <c r="H82" i="832"/>
  <c r="F82" i="832"/>
  <c r="D82" i="832"/>
  <c r="B82" i="832"/>
  <c r="H93" i="833"/>
  <c r="F93" i="833"/>
  <c r="D93" i="833"/>
  <c r="B93" i="833"/>
  <c r="H92" i="833"/>
  <c r="F92" i="833"/>
  <c r="D92" i="833"/>
  <c r="B92" i="833"/>
  <c r="H91" i="833"/>
  <c r="F91" i="833"/>
  <c r="D91" i="833"/>
  <c r="B91" i="833"/>
  <c r="H90" i="833"/>
  <c r="F90" i="833"/>
  <c r="D90" i="833"/>
  <c r="B90" i="833"/>
  <c r="H89" i="833"/>
  <c r="F89" i="833"/>
  <c r="D89" i="833"/>
  <c r="B89" i="833"/>
  <c r="H88" i="833"/>
  <c r="F88" i="833"/>
  <c r="D88" i="833"/>
  <c r="B88" i="833"/>
  <c r="H87" i="833"/>
  <c r="F87" i="833"/>
  <c r="D87" i="833"/>
  <c r="B87" i="833"/>
  <c r="H86" i="833"/>
  <c r="F86" i="833"/>
  <c r="D86" i="833"/>
  <c r="B86" i="833"/>
  <c r="H85" i="833"/>
  <c r="F85" i="833"/>
  <c r="D85" i="833"/>
  <c r="B85" i="833"/>
  <c r="H84" i="833"/>
  <c r="F84" i="833"/>
  <c r="D84" i="833"/>
  <c r="B84" i="833"/>
  <c r="H83" i="833"/>
  <c r="F83" i="833"/>
  <c r="D83" i="833"/>
  <c r="B83" i="833"/>
  <c r="H82" i="833"/>
  <c r="F82" i="833"/>
  <c r="D82" i="833"/>
  <c r="B82" i="833"/>
  <c r="H93" i="834"/>
  <c r="F93" i="834"/>
  <c r="D93" i="834"/>
  <c r="B93" i="834"/>
  <c r="H92" i="834"/>
  <c r="F92" i="834"/>
  <c r="D92" i="834"/>
  <c r="B92" i="834"/>
  <c r="H91" i="834"/>
  <c r="F91" i="834"/>
  <c r="D91" i="834"/>
  <c r="B91" i="834"/>
  <c r="H90" i="834"/>
  <c r="F90" i="834"/>
  <c r="D90" i="834"/>
  <c r="B90" i="834"/>
  <c r="H89" i="834"/>
  <c r="F89" i="834"/>
  <c r="D89" i="834"/>
  <c r="B89" i="834"/>
  <c r="H88" i="834"/>
  <c r="F88" i="834"/>
  <c r="D88" i="834"/>
  <c r="B88" i="834"/>
  <c r="H87" i="834"/>
  <c r="F87" i="834"/>
  <c r="D87" i="834"/>
  <c r="B87" i="834"/>
  <c r="H86" i="834"/>
  <c r="F86" i="834"/>
  <c r="D86" i="834"/>
  <c r="B86" i="834"/>
  <c r="H85" i="834"/>
  <c r="F85" i="834"/>
  <c r="D85" i="834"/>
  <c r="B85" i="834"/>
  <c r="H84" i="834"/>
  <c r="F84" i="834"/>
  <c r="D84" i="834"/>
  <c r="B84" i="834"/>
  <c r="H83" i="834"/>
  <c r="F83" i="834"/>
  <c r="D83" i="834"/>
  <c r="B83" i="834"/>
  <c r="H82" i="834"/>
  <c r="F82" i="834"/>
  <c r="D82" i="834"/>
  <c r="B82" i="834"/>
  <c r="H93" i="835"/>
  <c r="F93" i="835"/>
  <c r="D93" i="835"/>
  <c r="B93" i="835"/>
  <c r="H92" i="835"/>
  <c r="F92" i="835"/>
  <c r="D92" i="835"/>
  <c r="B92" i="835"/>
  <c r="H91" i="835"/>
  <c r="F91" i="835"/>
  <c r="D91" i="835"/>
  <c r="B91" i="835"/>
  <c r="H90" i="835"/>
  <c r="F90" i="835"/>
  <c r="D90" i="835"/>
  <c r="B90" i="835"/>
  <c r="H89" i="835"/>
  <c r="F89" i="835"/>
  <c r="D89" i="835"/>
  <c r="B89" i="835"/>
  <c r="H88" i="835"/>
  <c r="F88" i="835"/>
  <c r="D88" i="835"/>
  <c r="B88" i="835"/>
  <c r="H87" i="835"/>
  <c r="F87" i="835"/>
  <c r="D87" i="835"/>
  <c r="B87" i="835"/>
  <c r="H86" i="835"/>
  <c r="F86" i="835"/>
  <c r="D86" i="835"/>
  <c r="B86" i="835"/>
  <c r="H85" i="835"/>
  <c r="F85" i="835"/>
  <c r="D85" i="835"/>
  <c r="B85" i="835"/>
  <c r="H84" i="835"/>
  <c r="F84" i="835"/>
  <c r="D84" i="835"/>
  <c r="B84" i="835"/>
  <c r="H83" i="835"/>
  <c r="F83" i="835"/>
  <c r="D83" i="835"/>
  <c r="B83" i="835"/>
  <c r="H82" i="835"/>
  <c r="F82" i="835"/>
  <c r="D82" i="835"/>
  <c r="B82" i="835"/>
  <c r="H93" i="836"/>
  <c r="F93" i="836"/>
  <c r="D93" i="836"/>
  <c r="B93" i="836"/>
  <c r="H92" i="836"/>
  <c r="F92" i="836"/>
  <c r="D92" i="836"/>
  <c r="B92" i="836"/>
  <c r="H91" i="836"/>
  <c r="F91" i="836"/>
  <c r="D91" i="836"/>
  <c r="B91" i="836"/>
  <c r="H90" i="836"/>
  <c r="F90" i="836"/>
  <c r="D90" i="836"/>
  <c r="B90" i="836"/>
  <c r="H89" i="836"/>
  <c r="F89" i="836"/>
  <c r="D89" i="836"/>
  <c r="B89" i="836"/>
  <c r="H88" i="836"/>
  <c r="F88" i="836"/>
  <c r="D88" i="836"/>
  <c r="B88" i="836"/>
  <c r="H87" i="836"/>
  <c r="F87" i="836"/>
  <c r="D87" i="836"/>
  <c r="B87" i="836"/>
  <c r="H86" i="836"/>
  <c r="F86" i="836"/>
  <c r="D86" i="836"/>
  <c r="B86" i="836"/>
  <c r="H85" i="836"/>
  <c r="F85" i="836"/>
  <c r="D85" i="836"/>
  <c r="B85" i="836"/>
  <c r="H84" i="836"/>
  <c r="F84" i="836"/>
  <c r="D84" i="836"/>
  <c r="B84" i="836"/>
  <c r="H83" i="836"/>
  <c r="F83" i="836"/>
  <c r="D83" i="836"/>
  <c r="B83" i="836"/>
  <c r="H82" i="836"/>
  <c r="F82" i="836"/>
  <c r="D82" i="836"/>
  <c r="B82" i="836"/>
  <c r="H93" i="837"/>
  <c r="F93" i="837"/>
  <c r="D93" i="837"/>
  <c r="B93" i="837"/>
  <c r="H92" i="837"/>
  <c r="F92" i="837"/>
  <c r="D92" i="837"/>
  <c r="B92" i="837"/>
  <c r="H91" i="837"/>
  <c r="F91" i="837"/>
  <c r="D91" i="837"/>
  <c r="B91" i="837"/>
  <c r="H90" i="837"/>
  <c r="F90" i="837"/>
  <c r="D90" i="837"/>
  <c r="B90" i="837"/>
  <c r="H89" i="837"/>
  <c r="F89" i="837"/>
  <c r="D89" i="837"/>
  <c r="B89" i="837"/>
  <c r="H88" i="837"/>
  <c r="F88" i="837"/>
  <c r="D88" i="837"/>
  <c r="B88" i="837"/>
  <c r="H87" i="837"/>
  <c r="F87" i="837"/>
  <c r="D87" i="837"/>
  <c r="B87" i="837"/>
  <c r="H86" i="837"/>
  <c r="F86" i="837"/>
  <c r="D86" i="837"/>
  <c r="B86" i="837"/>
  <c r="H85" i="837"/>
  <c r="F85" i="837"/>
  <c r="D85" i="837"/>
  <c r="B85" i="837"/>
  <c r="H84" i="837"/>
  <c r="F84" i="837"/>
  <c r="D84" i="837"/>
  <c r="B84" i="837"/>
  <c r="H83" i="837"/>
  <c r="F83" i="837"/>
  <c r="D83" i="837"/>
  <c r="B83" i="837"/>
  <c r="H82" i="837"/>
  <c r="F82" i="837"/>
  <c r="D82" i="837"/>
  <c r="B82" i="837"/>
  <c r="H93" i="838"/>
  <c r="F93" i="838"/>
  <c r="D93" i="838"/>
  <c r="B93" i="838"/>
  <c r="H92" i="838"/>
  <c r="F92" i="838"/>
  <c r="D92" i="838"/>
  <c r="B92" i="838"/>
  <c r="H91" i="838"/>
  <c r="F91" i="838"/>
  <c r="D91" i="838"/>
  <c r="B91" i="838"/>
  <c r="H90" i="838"/>
  <c r="F90" i="838"/>
  <c r="D90" i="838"/>
  <c r="B90" i="838"/>
  <c r="H89" i="838"/>
  <c r="F89" i="838"/>
  <c r="D89" i="838"/>
  <c r="B89" i="838"/>
  <c r="H88" i="838"/>
  <c r="F88" i="838"/>
  <c r="D88" i="838"/>
  <c r="B88" i="838"/>
  <c r="H87" i="838"/>
  <c r="F87" i="838"/>
  <c r="D87" i="838"/>
  <c r="B87" i="838"/>
  <c r="H86" i="838"/>
  <c r="F86" i="838"/>
  <c r="D86" i="838"/>
  <c r="B86" i="838"/>
  <c r="H85" i="838"/>
  <c r="F85" i="838"/>
  <c r="D85" i="838"/>
  <c r="B85" i="838"/>
  <c r="H84" i="838"/>
  <c r="F84" i="838"/>
  <c r="D84" i="838"/>
  <c r="B84" i="838"/>
  <c r="H83" i="838"/>
  <c r="F83" i="838"/>
  <c r="D83" i="838"/>
  <c r="B83" i="838"/>
  <c r="H82" i="838"/>
  <c r="F82" i="838"/>
  <c r="D82" i="838"/>
  <c r="B82" i="838"/>
  <c r="H93" i="839"/>
  <c r="F93" i="839"/>
  <c r="D93" i="839"/>
  <c r="B93" i="839"/>
  <c r="H92" i="839"/>
  <c r="F92" i="839"/>
  <c r="D92" i="839"/>
  <c r="B92" i="839"/>
  <c r="H91" i="839"/>
  <c r="F91" i="839"/>
  <c r="D91" i="839"/>
  <c r="B91" i="839"/>
  <c r="H90" i="839"/>
  <c r="F90" i="839"/>
  <c r="D90" i="839"/>
  <c r="B90" i="839"/>
  <c r="H89" i="839"/>
  <c r="F89" i="839"/>
  <c r="D89" i="839"/>
  <c r="B89" i="839"/>
  <c r="H88" i="839"/>
  <c r="F88" i="839"/>
  <c r="D88" i="839"/>
  <c r="B88" i="839"/>
  <c r="H87" i="839"/>
  <c r="F87" i="839"/>
  <c r="D87" i="839"/>
  <c r="B87" i="839"/>
  <c r="H86" i="839"/>
  <c r="F86" i="839"/>
  <c r="D86" i="839"/>
  <c r="B86" i="839"/>
  <c r="H85" i="839"/>
  <c r="F85" i="839"/>
  <c r="D85" i="839"/>
  <c r="B85" i="839"/>
  <c r="H84" i="839"/>
  <c r="F84" i="839"/>
  <c r="D84" i="839"/>
  <c r="B84" i="839"/>
  <c r="H83" i="839"/>
  <c r="F83" i="839"/>
  <c r="D83" i="839"/>
  <c r="B83" i="839"/>
  <c r="H82" i="839"/>
  <c r="F82" i="839"/>
  <c r="D82" i="839"/>
  <c r="B82" i="839"/>
  <c r="H93" i="887"/>
  <c r="F93" i="887"/>
  <c r="D93" i="887"/>
  <c r="B93" i="887"/>
  <c r="H92" i="887"/>
  <c r="F92" i="887"/>
  <c r="D92" i="887"/>
  <c r="B92" i="887"/>
  <c r="H91" i="887"/>
  <c r="F91" i="887"/>
  <c r="D91" i="887"/>
  <c r="B91" i="887"/>
  <c r="H90" i="887"/>
  <c r="F90" i="887"/>
  <c r="D90" i="887"/>
  <c r="B90" i="887"/>
  <c r="H89" i="887"/>
  <c r="F89" i="887"/>
  <c r="D89" i="887"/>
  <c r="B89" i="887"/>
  <c r="H88" i="887"/>
  <c r="F88" i="887"/>
  <c r="D88" i="887"/>
  <c r="B88" i="887"/>
  <c r="H87" i="887"/>
  <c r="F87" i="887"/>
  <c r="D87" i="887"/>
  <c r="B87" i="887"/>
  <c r="H86" i="887"/>
  <c r="F86" i="887"/>
  <c r="D86" i="887"/>
  <c r="B86" i="887"/>
  <c r="H85" i="887"/>
  <c r="F85" i="887"/>
  <c r="D85" i="887"/>
  <c r="B85" i="887"/>
  <c r="H84" i="887"/>
  <c r="F84" i="887"/>
  <c r="D84" i="887"/>
  <c r="B84" i="887"/>
  <c r="H83" i="887"/>
  <c r="F83" i="887"/>
  <c r="D83" i="887"/>
  <c r="B83" i="887"/>
  <c r="H82" i="887"/>
  <c r="F82" i="887"/>
  <c r="D82" i="887"/>
  <c r="B82" i="887"/>
  <c r="H93" i="840"/>
  <c r="F93" i="840"/>
  <c r="D93" i="840"/>
  <c r="B93" i="840"/>
  <c r="H92" i="840"/>
  <c r="F92" i="840"/>
  <c r="D92" i="840"/>
  <c r="B92" i="840"/>
  <c r="H91" i="840"/>
  <c r="F91" i="840"/>
  <c r="D91" i="840"/>
  <c r="B91" i="840"/>
  <c r="H90" i="840"/>
  <c r="F90" i="840"/>
  <c r="D90" i="840"/>
  <c r="B90" i="840"/>
  <c r="H89" i="840"/>
  <c r="F89" i="840"/>
  <c r="D89" i="840"/>
  <c r="B89" i="840"/>
  <c r="H88" i="840"/>
  <c r="F88" i="840"/>
  <c r="D88" i="840"/>
  <c r="B88" i="840"/>
  <c r="H87" i="840"/>
  <c r="F87" i="840"/>
  <c r="D87" i="840"/>
  <c r="B87" i="840"/>
  <c r="H86" i="840"/>
  <c r="F86" i="840"/>
  <c r="D86" i="840"/>
  <c r="B86" i="840"/>
  <c r="H85" i="840"/>
  <c r="F85" i="840"/>
  <c r="D85" i="840"/>
  <c r="B85" i="840"/>
  <c r="H84" i="840"/>
  <c r="F84" i="840"/>
  <c r="D84" i="840"/>
  <c r="B84" i="840"/>
  <c r="H83" i="840"/>
  <c r="F83" i="840"/>
  <c r="D83" i="840"/>
  <c r="B83" i="840"/>
  <c r="H82" i="840"/>
  <c r="F82" i="840"/>
  <c r="D82" i="840"/>
  <c r="B82" i="840"/>
  <c r="H93" i="841"/>
  <c r="F93" i="841"/>
  <c r="D93" i="841"/>
  <c r="B93" i="841"/>
  <c r="H92" i="841"/>
  <c r="F92" i="841"/>
  <c r="D92" i="841"/>
  <c r="B92" i="841"/>
  <c r="H91" i="841"/>
  <c r="F91" i="841"/>
  <c r="D91" i="841"/>
  <c r="B91" i="841"/>
  <c r="H90" i="841"/>
  <c r="F90" i="841"/>
  <c r="D90" i="841"/>
  <c r="B90" i="841"/>
  <c r="H89" i="841"/>
  <c r="F89" i="841"/>
  <c r="D89" i="841"/>
  <c r="B89" i="841"/>
  <c r="H88" i="841"/>
  <c r="F88" i="841"/>
  <c r="D88" i="841"/>
  <c r="B88" i="841"/>
  <c r="H87" i="841"/>
  <c r="F87" i="841"/>
  <c r="D87" i="841"/>
  <c r="B87" i="841"/>
  <c r="H86" i="841"/>
  <c r="F86" i="841"/>
  <c r="D86" i="841"/>
  <c r="B86" i="841"/>
  <c r="H85" i="841"/>
  <c r="F85" i="841"/>
  <c r="D85" i="841"/>
  <c r="B85" i="841"/>
  <c r="H84" i="841"/>
  <c r="F84" i="841"/>
  <c r="D84" i="841"/>
  <c r="B84" i="841"/>
  <c r="H83" i="841"/>
  <c r="F83" i="841"/>
  <c r="D83" i="841"/>
  <c r="B83" i="841"/>
  <c r="H82" i="841"/>
  <c r="F82" i="841"/>
  <c r="D82" i="841"/>
  <c r="B82" i="841"/>
  <c r="H93" i="842"/>
  <c r="F93" i="842"/>
  <c r="D93" i="842"/>
  <c r="B93" i="842"/>
  <c r="H92" i="842"/>
  <c r="F92" i="842"/>
  <c r="D92" i="842"/>
  <c r="B92" i="842"/>
  <c r="H91" i="842"/>
  <c r="F91" i="842"/>
  <c r="D91" i="842"/>
  <c r="B91" i="842"/>
  <c r="H90" i="842"/>
  <c r="F90" i="842"/>
  <c r="D90" i="842"/>
  <c r="B90" i="842"/>
  <c r="H89" i="842"/>
  <c r="F89" i="842"/>
  <c r="D89" i="842"/>
  <c r="B89" i="842"/>
  <c r="H88" i="842"/>
  <c r="F88" i="842"/>
  <c r="D88" i="842"/>
  <c r="B88" i="842"/>
  <c r="H87" i="842"/>
  <c r="F87" i="842"/>
  <c r="D87" i="842"/>
  <c r="B87" i="842"/>
  <c r="H86" i="842"/>
  <c r="F86" i="842"/>
  <c r="D86" i="842"/>
  <c r="B86" i="842"/>
  <c r="H85" i="842"/>
  <c r="F85" i="842"/>
  <c r="D85" i="842"/>
  <c r="B85" i="842"/>
  <c r="H84" i="842"/>
  <c r="F84" i="842"/>
  <c r="D84" i="842"/>
  <c r="B84" i="842"/>
  <c r="H83" i="842"/>
  <c r="F83" i="842"/>
  <c r="D83" i="842"/>
  <c r="B83" i="842"/>
  <c r="H82" i="842"/>
  <c r="F82" i="842"/>
  <c r="D82" i="842"/>
  <c r="B82" i="842"/>
  <c r="H93" i="843"/>
  <c r="F93" i="843"/>
  <c r="D93" i="843"/>
  <c r="B93" i="843"/>
  <c r="H92" i="843"/>
  <c r="F92" i="843"/>
  <c r="D92" i="843"/>
  <c r="B92" i="843"/>
  <c r="H91" i="843"/>
  <c r="F91" i="843"/>
  <c r="D91" i="843"/>
  <c r="B91" i="843"/>
  <c r="H90" i="843"/>
  <c r="F90" i="843"/>
  <c r="D90" i="843"/>
  <c r="B90" i="843"/>
  <c r="H89" i="843"/>
  <c r="F89" i="843"/>
  <c r="D89" i="843"/>
  <c r="B89" i="843"/>
  <c r="H88" i="843"/>
  <c r="F88" i="843"/>
  <c r="D88" i="843"/>
  <c r="B88" i="843"/>
  <c r="H87" i="843"/>
  <c r="F87" i="843"/>
  <c r="D87" i="843"/>
  <c r="B87" i="843"/>
  <c r="H86" i="843"/>
  <c r="F86" i="843"/>
  <c r="D86" i="843"/>
  <c r="B86" i="843"/>
  <c r="H85" i="843"/>
  <c r="F85" i="843"/>
  <c r="D85" i="843"/>
  <c r="B85" i="843"/>
  <c r="H84" i="843"/>
  <c r="F84" i="843"/>
  <c r="D84" i="843"/>
  <c r="B84" i="843"/>
  <c r="H83" i="843"/>
  <c r="F83" i="843"/>
  <c r="D83" i="843"/>
  <c r="B83" i="843"/>
  <c r="H82" i="843"/>
  <c r="F82" i="843"/>
  <c r="D82" i="843"/>
  <c r="B82" i="843"/>
  <c r="H93" i="844"/>
  <c r="F93" i="844"/>
  <c r="D93" i="844"/>
  <c r="B93" i="844"/>
  <c r="H92" i="844"/>
  <c r="F92" i="844"/>
  <c r="D92" i="844"/>
  <c r="B92" i="844"/>
  <c r="H91" i="844"/>
  <c r="F91" i="844"/>
  <c r="D91" i="844"/>
  <c r="B91" i="844"/>
  <c r="H90" i="844"/>
  <c r="F90" i="844"/>
  <c r="D90" i="844"/>
  <c r="B90" i="844"/>
  <c r="H89" i="844"/>
  <c r="F89" i="844"/>
  <c r="D89" i="844"/>
  <c r="B89" i="844"/>
  <c r="H88" i="844"/>
  <c r="F88" i="844"/>
  <c r="D88" i="844"/>
  <c r="B88" i="844"/>
  <c r="H87" i="844"/>
  <c r="F87" i="844"/>
  <c r="D87" i="844"/>
  <c r="B87" i="844"/>
  <c r="H86" i="844"/>
  <c r="F86" i="844"/>
  <c r="D86" i="844"/>
  <c r="B86" i="844"/>
  <c r="H85" i="844"/>
  <c r="F85" i="844"/>
  <c r="D85" i="844"/>
  <c r="B85" i="844"/>
  <c r="H84" i="844"/>
  <c r="F84" i="844"/>
  <c r="D84" i="844"/>
  <c r="B84" i="844"/>
  <c r="H83" i="844"/>
  <c r="F83" i="844"/>
  <c r="D83" i="844"/>
  <c r="B83" i="844"/>
  <c r="H82" i="844"/>
  <c r="F82" i="844"/>
  <c r="D82" i="844"/>
  <c r="B82" i="844"/>
  <c r="H93" i="845"/>
  <c r="F93" i="845"/>
  <c r="D93" i="845"/>
  <c r="B93" i="845"/>
  <c r="H92" i="845"/>
  <c r="F92" i="845"/>
  <c r="D92" i="845"/>
  <c r="B92" i="845"/>
  <c r="H91" i="845"/>
  <c r="F91" i="845"/>
  <c r="D91" i="845"/>
  <c r="B91" i="845"/>
  <c r="H90" i="845"/>
  <c r="F90" i="845"/>
  <c r="D90" i="845"/>
  <c r="B90" i="845"/>
  <c r="H89" i="845"/>
  <c r="F89" i="845"/>
  <c r="D89" i="845"/>
  <c r="B89" i="845"/>
  <c r="H88" i="845"/>
  <c r="F88" i="845"/>
  <c r="D88" i="845"/>
  <c r="B88" i="845"/>
  <c r="H87" i="845"/>
  <c r="F87" i="845"/>
  <c r="D87" i="845"/>
  <c r="B87" i="845"/>
  <c r="H86" i="845"/>
  <c r="F86" i="845"/>
  <c r="D86" i="845"/>
  <c r="B86" i="845"/>
  <c r="H85" i="845"/>
  <c r="F85" i="845"/>
  <c r="D85" i="845"/>
  <c r="B85" i="845"/>
  <c r="H84" i="845"/>
  <c r="F84" i="845"/>
  <c r="D84" i="845"/>
  <c r="B84" i="845"/>
  <c r="H83" i="845"/>
  <c r="F83" i="845"/>
  <c r="D83" i="845"/>
  <c r="B83" i="845"/>
  <c r="H82" i="845"/>
  <c r="F82" i="845"/>
  <c r="D82" i="845"/>
  <c r="B82" i="845"/>
  <c r="H93" i="846"/>
  <c r="F93" i="846"/>
  <c r="D93" i="846"/>
  <c r="B93" i="846"/>
  <c r="H92" i="846"/>
  <c r="F92" i="846"/>
  <c r="D92" i="846"/>
  <c r="B92" i="846"/>
  <c r="H91" i="846"/>
  <c r="F91" i="846"/>
  <c r="D91" i="846"/>
  <c r="B91" i="846"/>
  <c r="H90" i="846"/>
  <c r="F90" i="846"/>
  <c r="D90" i="846"/>
  <c r="B90" i="846"/>
  <c r="H89" i="846"/>
  <c r="F89" i="846"/>
  <c r="D89" i="846"/>
  <c r="B89" i="846"/>
  <c r="H88" i="846"/>
  <c r="F88" i="846"/>
  <c r="D88" i="846"/>
  <c r="B88" i="846"/>
  <c r="H87" i="846"/>
  <c r="F87" i="846"/>
  <c r="D87" i="846"/>
  <c r="B87" i="846"/>
  <c r="H86" i="846"/>
  <c r="F86" i="846"/>
  <c r="D86" i="846"/>
  <c r="B86" i="846"/>
  <c r="H85" i="846"/>
  <c r="F85" i="846"/>
  <c r="D85" i="846"/>
  <c r="B85" i="846"/>
  <c r="H84" i="846"/>
  <c r="F84" i="846"/>
  <c r="D84" i="846"/>
  <c r="B84" i="846"/>
  <c r="H83" i="846"/>
  <c r="F83" i="846"/>
  <c r="D83" i="846"/>
  <c r="B83" i="846"/>
  <c r="H82" i="846"/>
  <c r="F82" i="846"/>
  <c r="D82" i="846"/>
  <c r="B82" i="846"/>
  <c r="H93" i="847"/>
  <c r="F93" i="847"/>
  <c r="D93" i="847"/>
  <c r="B93" i="847"/>
  <c r="H92" i="847"/>
  <c r="F92" i="847"/>
  <c r="D92" i="847"/>
  <c r="B92" i="847"/>
  <c r="H91" i="847"/>
  <c r="F91" i="847"/>
  <c r="D91" i="847"/>
  <c r="B91" i="847"/>
  <c r="H90" i="847"/>
  <c r="F90" i="847"/>
  <c r="D90" i="847"/>
  <c r="B90" i="847"/>
  <c r="H89" i="847"/>
  <c r="F89" i="847"/>
  <c r="D89" i="847"/>
  <c r="B89" i="847"/>
  <c r="H88" i="847"/>
  <c r="F88" i="847"/>
  <c r="D88" i="847"/>
  <c r="B88" i="847"/>
  <c r="H87" i="847"/>
  <c r="F87" i="847"/>
  <c r="D87" i="847"/>
  <c r="B87" i="847"/>
  <c r="H86" i="847"/>
  <c r="F86" i="847"/>
  <c r="D86" i="847"/>
  <c r="B86" i="847"/>
  <c r="H85" i="847"/>
  <c r="F85" i="847"/>
  <c r="D85" i="847"/>
  <c r="B85" i="847"/>
  <c r="H84" i="847"/>
  <c r="F84" i="847"/>
  <c r="D84" i="847"/>
  <c r="B84" i="847"/>
  <c r="H83" i="847"/>
  <c r="F83" i="847"/>
  <c r="D83" i="847"/>
  <c r="B83" i="847"/>
  <c r="H82" i="847"/>
  <c r="F82" i="847"/>
  <c r="D82" i="847"/>
  <c r="B82" i="847"/>
  <c r="H93" i="848"/>
  <c r="F93" i="848"/>
  <c r="D93" i="848"/>
  <c r="B93" i="848"/>
  <c r="H92" i="848"/>
  <c r="F92" i="848"/>
  <c r="D92" i="848"/>
  <c r="B92" i="848"/>
  <c r="H91" i="848"/>
  <c r="F91" i="848"/>
  <c r="D91" i="848"/>
  <c r="B91" i="848"/>
  <c r="H90" i="848"/>
  <c r="F90" i="848"/>
  <c r="D90" i="848"/>
  <c r="B90" i="848"/>
  <c r="H89" i="848"/>
  <c r="F89" i="848"/>
  <c r="D89" i="848"/>
  <c r="B89" i="848"/>
  <c r="H88" i="848"/>
  <c r="F88" i="848"/>
  <c r="D88" i="848"/>
  <c r="B88" i="848"/>
  <c r="H87" i="848"/>
  <c r="F87" i="848"/>
  <c r="D87" i="848"/>
  <c r="B87" i="848"/>
  <c r="H86" i="848"/>
  <c r="F86" i="848"/>
  <c r="D86" i="848"/>
  <c r="B86" i="848"/>
  <c r="H85" i="848"/>
  <c r="F85" i="848"/>
  <c r="D85" i="848"/>
  <c r="B85" i="848"/>
  <c r="H84" i="848"/>
  <c r="F84" i="848"/>
  <c r="D84" i="848"/>
  <c r="B84" i="848"/>
  <c r="H83" i="848"/>
  <c r="F83" i="848"/>
  <c r="D83" i="848"/>
  <c r="B83" i="848"/>
  <c r="H82" i="848"/>
  <c r="F82" i="848"/>
  <c r="D82" i="848"/>
  <c r="B82" i="848"/>
  <c r="H93" i="849"/>
  <c r="F93" i="849"/>
  <c r="D93" i="849"/>
  <c r="B93" i="849"/>
  <c r="H92" i="849"/>
  <c r="F92" i="849"/>
  <c r="D92" i="849"/>
  <c r="B92" i="849"/>
  <c r="H91" i="849"/>
  <c r="F91" i="849"/>
  <c r="D91" i="849"/>
  <c r="B91" i="849"/>
  <c r="H90" i="849"/>
  <c r="F90" i="849"/>
  <c r="D90" i="849"/>
  <c r="B90" i="849"/>
  <c r="H89" i="849"/>
  <c r="F89" i="849"/>
  <c r="D89" i="849"/>
  <c r="B89" i="849"/>
  <c r="H88" i="849"/>
  <c r="F88" i="849"/>
  <c r="D88" i="849"/>
  <c r="B88" i="849"/>
  <c r="H87" i="849"/>
  <c r="F87" i="849"/>
  <c r="D87" i="849"/>
  <c r="B87" i="849"/>
  <c r="H86" i="849"/>
  <c r="F86" i="849"/>
  <c r="D86" i="849"/>
  <c r="B86" i="849"/>
  <c r="H85" i="849"/>
  <c r="F85" i="849"/>
  <c r="D85" i="849"/>
  <c r="B85" i="849"/>
  <c r="H84" i="849"/>
  <c r="F84" i="849"/>
  <c r="D84" i="849"/>
  <c r="B84" i="849"/>
  <c r="H83" i="849"/>
  <c r="F83" i="849"/>
  <c r="D83" i="849"/>
  <c r="B83" i="849"/>
  <c r="H82" i="849"/>
  <c r="F82" i="849"/>
  <c r="D82" i="849"/>
  <c r="B82" i="849"/>
  <c r="H93" i="850"/>
  <c r="F93" i="850"/>
  <c r="D93" i="850"/>
  <c r="B93" i="850"/>
  <c r="H92" i="850"/>
  <c r="F92" i="850"/>
  <c r="D92" i="850"/>
  <c r="B92" i="850"/>
  <c r="H91" i="850"/>
  <c r="F91" i="850"/>
  <c r="D91" i="850"/>
  <c r="B91" i="850"/>
  <c r="H90" i="850"/>
  <c r="F90" i="850"/>
  <c r="D90" i="850"/>
  <c r="B90" i="850"/>
  <c r="H89" i="850"/>
  <c r="F89" i="850"/>
  <c r="D89" i="850"/>
  <c r="B89" i="850"/>
  <c r="H88" i="850"/>
  <c r="F88" i="850"/>
  <c r="D88" i="850"/>
  <c r="B88" i="850"/>
  <c r="H87" i="850"/>
  <c r="F87" i="850"/>
  <c r="D87" i="850"/>
  <c r="B87" i="850"/>
  <c r="H86" i="850"/>
  <c r="F86" i="850"/>
  <c r="D86" i="850"/>
  <c r="B86" i="850"/>
  <c r="H85" i="850"/>
  <c r="F85" i="850"/>
  <c r="D85" i="850"/>
  <c r="B85" i="850"/>
  <c r="H84" i="850"/>
  <c r="F84" i="850"/>
  <c r="D84" i="850"/>
  <c r="B84" i="850"/>
  <c r="H83" i="850"/>
  <c r="F83" i="850"/>
  <c r="D83" i="850"/>
  <c r="B83" i="850"/>
  <c r="H82" i="850"/>
  <c r="F82" i="850"/>
  <c r="D82" i="850"/>
  <c r="B82" i="850"/>
  <c r="H93" i="851"/>
  <c r="F93" i="851"/>
  <c r="D93" i="851"/>
  <c r="B93" i="851"/>
  <c r="H92" i="851"/>
  <c r="F92" i="851"/>
  <c r="D92" i="851"/>
  <c r="B92" i="851"/>
  <c r="H91" i="851"/>
  <c r="F91" i="851"/>
  <c r="D91" i="851"/>
  <c r="B91" i="851"/>
  <c r="H90" i="851"/>
  <c r="F90" i="851"/>
  <c r="D90" i="851"/>
  <c r="B90" i="851"/>
  <c r="H89" i="851"/>
  <c r="F89" i="851"/>
  <c r="D89" i="851"/>
  <c r="B89" i="851"/>
  <c r="H88" i="851"/>
  <c r="F88" i="851"/>
  <c r="D88" i="851"/>
  <c r="B88" i="851"/>
  <c r="H87" i="851"/>
  <c r="F87" i="851"/>
  <c r="D87" i="851"/>
  <c r="B87" i="851"/>
  <c r="H86" i="851"/>
  <c r="F86" i="851"/>
  <c r="D86" i="851"/>
  <c r="B86" i="851"/>
  <c r="H85" i="851"/>
  <c r="F85" i="851"/>
  <c r="D85" i="851"/>
  <c r="B85" i="851"/>
  <c r="H84" i="851"/>
  <c r="F84" i="851"/>
  <c r="D84" i="851"/>
  <c r="B84" i="851"/>
  <c r="H83" i="851"/>
  <c r="F83" i="851"/>
  <c r="D83" i="851"/>
  <c r="B83" i="851"/>
  <c r="H82" i="851"/>
  <c r="F82" i="851"/>
  <c r="D82" i="851"/>
  <c r="B82" i="851"/>
  <c r="H93" i="852"/>
  <c r="F93" i="852"/>
  <c r="D93" i="852"/>
  <c r="B93" i="852"/>
  <c r="H92" i="852"/>
  <c r="F92" i="852"/>
  <c r="D92" i="852"/>
  <c r="B92" i="852"/>
  <c r="H91" i="852"/>
  <c r="F91" i="852"/>
  <c r="D91" i="852"/>
  <c r="B91" i="852"/>
  <c r="H90" i="852"/>
  <c r="F90" i="852"/>
  <c r="D90" i="852"/>
  <c r="B90" i="852"/>
  <c r="H89" i="852"/>
  <c r="F89" i="852"/>
  <c r="D89" i="852"/>
  <c r="B89" i="852"/>
  <c r="H88" i="852"/>
  <c r="F88" i="852"/>
  <c r="D88" i="852"/>
  <c r="B88" i="852"/>
  <c r="H87" i="852"/>
  <c r="F87" i="852"/>
  <c r="D87" i="852"/>
  <c r="B87" i="852"/>
  <c r="H86" i="852"/>
  <c r="F86" i="852"/>
  <c r="D86" i="852"/>
  <c r="B86" i="852"/>
  <c r="H85" i="852"/>
  <c r="F85" i="852"/>
  <c r="D85" i="852"/>
  <c r="B85" i="852"/>
  <c r="H84" i="852"/>
  <c r="F84" i="852"/>
  <c r="D84" i="852"/>
  <c r="B84" i="852"/>
  <c r="H83" i="852"/>
  <c r="F83" i="852"/>
  <c r="D83" i="852"/>
  <c r="B83" i="852"/>
  <c r="H82" i="852"/>
  <c r="F82" i="852"/>
  <c r="D82" i="852"/>
  <c r="B82" i="852"/>
  <c r="H93" i="853"/>
  <c r="F93" i="853"/>
  <c r="D93" i="853"/>
  <c r="B93" i="853"/>
  <c r="H92" i="853"/>
  <c r="F92" i="853"/>
  <c r="D92" i="853"/>
  <c r="B92" i="853"/>
  <c r="H91" i="853"/>
  <c r="F91" i="853"/>
  <c r="D91" i="853"/>
  <c r="B91" i="853"/>
  <c r="H90" i="853"/>
  <c r="F90" i="853"/>
  <c r="D90" i="853"/>
  <c r="B90" i="853"/>
  <c r="H89" i="853"/>
  <c r="F89" i="853"/>
  <c r="D89" i="853"/>
  <c r="B89" i="853"/>
  <c r="H88" i="853"/>
  <c r="F88" i="853"/>
  <c r="D88" i="853"/>
  <c r="B88" i="853"/>
  <c r="H87" i="853"/>
  <c r="F87" i="853"/>
  <c r="D87" i="853"/>
  <c r="B87" i="853"/>
  <c r="H86" i="853"/>
  <c r="F86" i="853"/>
  <c r="D86" i="853"/>
  <c r="B86" i="853"/>
  <c r="H85" i="853"/>
  <c r="F85" i="853"/>
  <c r="D85" i="853"/>
  <c r="B85" i="853"/>
  <c r="H84" i="853"/>
  <c r="F84" i="853"/>
  <c r="D84" i="853"/>
  <c r="B84" i="853"/>
  <c r="H83" i="853"/>
  <c r="F83" i="853"/>
  <c r="D83" i="853"/>
  <c r="B83" i="853"/>
  <c r="H82" i="853"/>
  <c r="F82" i="853"/>
  <c r="D82" i="853"/>
  <c r="B82" i="853"/>
  <c r="H93" i="854"/>
  <c r="F93" i="854"/>
  <c r="D93" i="854"/>
  <c r="B93" i="854"/>
  <c r="H92" i="854"/>
  <c r="F92" i="854"/>
  <c r="D92" i="854"/>
  <c r="B92" i="854"/>
  <c r="H91" i="854"/>
  <c r="F91" i="854"/>
  <c r="D91" i="854"/>
  <c r="B91" i="854"/>
  <c r="H90" i="854"/>
  <c r="F90" i="854"/>
  <c r="D90" i="854"/>
  <c r="B90" i="854"/>
  <c r="H89" i="854"/>
  <c r="F89" i="854"/>
  <c r="D89" i="854"/>
  <c r="B89" i="854"/>
  <c r="H88" i="854"/>
  <c r="F88" i="854"/>
  <c r="D88" i="854"/>
  <c r="B88" i="854"/>
  <c r="H87" i="854"/>
  <c r="F87" i="854"/>
  <c r="D87" i="854"/>
  <c r="B87" i="854"/>
  <c r="H86" i="854"/>
  <c r="F86" i="854"/>
  <c r="D86" i="854"/>
  <c r="B86" i="854"/>
  <c r="H85" i="854"/>
  <c r="F85" i="854"/>
  <c r="D85" i="854"/>
  <c r="B85" i="854"/>
  <c r="H84" i="854"/>
  <c r="F84" i="854"/>
  <c r="D84" i="854"/>
  <c r="B84" i="854"/>
  <c r="H83" i="854"/>
  <c r="F83" i="854"/>
  <c r="D83" i="854"/>
  <c r="B83" i="854"/>
  <c r="H82" i="854"/>
  <c r="F82" i="854"/>
  <c r="D82" i="854"/>
  <c r="B82" i="854"/>
  <c r="H93" i="855"/>
  <c r="F93" i="855"/>
  <c r="D93" i="855"/>
  <c r="B93" i="855"/>
  <c r="H92" i="855"/>
  <c r="F92" i="855"/>
  <c r="D92" i="855"/>
  <c r="B92" i="855"/>
  <c r="H91" i="855"/>
  <c r="F91" i="855"/>
  <c r="D91" i="855"/>
  <c r="B91" i="855"/>
  <c r="H90" i="855"/>
  <c r="F90" i="855"/>
  <c r="D90" i="855"/>
  <c r="B90" i="855"/>
  <c r="H89" i="855"/>
  <c r="F89" i="855"/>
  <c r="D89" i="855"/>
  <c r="B89" i="855"/>
  <c r="H88" i="855"/>
  <c r="F88" i="855"/>
  <c r="D88" i="855"/>
  <c r="B88" i="855"/>
  <c r="H87" i="855"/>
  <c r="F87" i="855"/>
  <c r="D87" i="855"/>
  <c r="B87" i="855"/>
  <c r="H86" i="855"/>
  <c r="F86" i="855"/>
  <c r="D86" i="855"/>
  <c r="B86" i="855"/>
  <c r="H85" i="855"/>
  <c r="F85" i="855"/>
  <c r="D85" i="855"/>
  <c r="B85" i="855"/>
  <c r="H84" i="855"/>
  <c r="F84" i="855"/>
  <c r="D84" i="855"/>
  <c r="B84" i="855"/>
  <c r="H83" i="855"/>
  <c r="F83" i="855"/>
  <c r="D83" i="855"/>
  <c r="B83" i="855"/>
  <c r="H82" i="855"/>
  <c r="F82" i="855"/>
  <c r="D82" i="855"/>
  <c r="B82" i="855"/>
  <c r="H93" i="856"/>
  <c r="F93" i="856"/>
  <c r="D93" i="856"/>
  <c r="B93" i="856"/>
  <c r="H92" i="856"/>
  <c r="F92" i="856"/>
  <c r="D92" i="856"/>
  <c r="B92" i="856"/>
  <c r="H91" i="856"/>
  <c r="F91" i="856"/>
  <c r="D91" i="856"/>
  <c r="B91" i="856"/>
  <c r="H90" i="856"/>
  <c r="F90" i="856"/>
  <c r="D90" i="856"/>
  <c r="B90" i="856"/>
  <c r="H89" i="856"/>
  <c r="F89" i="856"/>
  <c r="D89" i="856"/>
  <c r="B89" i="856"/>
  <c r="H88" i="856"/>
  <c r="F88" i="856"/>
  <c r="D88" i="856"/>
  <c r="B88" i="856"/>
  <c r="H87" i="856"/>
  <c r="F87" i="856"/>
  <c r="D87" i="856"/>
  <c r="B87" i="856"/>
  <c r="H86" i="856"/>
  <c r="F86" i="856"/>
  <c r="D86" i="856"/>
  <c r="B86" i="856"/>
  <c r="H85" i="856"/>
  <c r="F85" i="856"/>
  <c r="D85" i="856"/>
  <c r="B85" i="856"/>
  <c r="H84" i="856"/>
  <c r="F84" i="856"/>
  <c r="D84" i="856"/>
  <c r="B84" i="856"/>
  <c r="H83" i="856"/>
  <c r="F83" i="856"/>
  <c r="D83" i="856"/>
  <c r="B83" i="856"/>
  <c r="H82" i="856"/>
  <c r="F82" i="856"/>
  <c r="D82" i="856"/>
  <c r="B82" i="856"/>
  <c r="H93" i="857"/>
  <c r="F93" i="857"/>
  <c r="D93" i="857"/>
  <c r="B93" i="857"/>
  <c r="H92" i="857"/>
  <c r="F92" i="857"/>
  <c r="D92" i="857"/>
  <c r="B92" i="857"/>
  <c r="H91" i="857"/>
  <c r="F91" i="857"/>
  <c r="D91" i="857"/>
  <c r="B91" i="857"/>
  <c r="H90" i="857"/>
  <c r="F90" i="857"/>
  <c r="D90" i="857"/>
  <c r="B90" i="857"/>
  <c r="H89" i="857"/>
  <c r="F89" i="857"/>
  <c r="D89" i="857"/>
  <c r="B89" i="857"/>
  <c r="H88" i="857"/>
  <c r="F88" i="857"/>
  <c r="D88" i="857"/>
  <c r="B88" i="857"/>
  <c r="H87" i="857"/>
  <c r="F87" i="857"/>
  <c r="D87" i="857"/>
  <c r="B87" i="857"/>
  <c r="H86" i="857"/>
  <c r="F86" i="857"/>
  <c r="D86" i="857"/>
  <c r="B86" i="857"/>
  <c r="H85" i="857"/>
  <c r="F85" i="857"/>
  <c r="D85" i="857"/>
  <c r="B85" i="857"/>
  <c r="H84" i="857"/>
  <c r="F84" i="857"/>
  <c r="D84" i="857"/>
  <c r="B84" i="857"/>
  <c r="H83" i="857"/>
  <c r="F83" i="857"/>
  <c r="D83" i="857"/>
  <c r="B83" i="857"/>
  <c r="H82" i="857"/>
  <c r="F82" i="857"/>
  <c r="D82" i="857"/>
  <c r="B82" i="857"/>
  <c r="H93" i="858"/>
  <c r="F93" i="858"/>
  <c r="D93" i="858"/>
  <c r="B93" i="858"/>
  <c r="H92" i="858"/>
  <c r="F92" i="858"/>
  <c r="D92" i="858"/>
  <c r="B92" i="858"/>
  <c r="H91" i="858"/>
  <c r="F91" i="858"/>
  <c r="D91" i="858"/>
  <c r="B91" i="858"/>
  <c r="H90" i="858"/>
  <c r="F90" i="858"/>
  <c r="D90" i="858"/>
  <c r="B90" i="858"/>
  <c r="H89" i="858"/>
  <c r="F89" i="858"/>
  <c r="D89" i="858"/>
  <c r="B89" i="858"/>
  <c r="H88" i="858"/>
  <c r="F88" i="858"/>
  <c r="D88" i="858"/>
  <c r="B88" i="858"/>
  <c r="H87" i="858"/>
  <c r="F87" i="858"/>
  <c r="D87" i="858"/>
  <c r="B87" i="858"/>
  <c r="H86" i="858"/>
  <c r="F86" i="858"/>
  <c r="D86" i="858"/>
  <c r="B86" i="858"/>
  <c r="H85" i="858"/>
  <c r="F85" i="858"/>
  <c r="D85" i="858"/>
  <c r="B85" i="858"/>
  <c r="H84" i="858"/>
  <c r="F84" i="858"/>
  <c r="D84" i="858"/>
  <c r="B84" i="858"/>
  <c r="H83" i="858"/>
  <c r="F83" i="858"/>
  <c r="D83" i="858"/>
  <c r="B83" i="858"/>
  <c r="H82" i="858"/>
  <c r="F82" i="858"/>
  <c r="D82" i="858"/>
  <c r="B82" i="858"/>
  <c r="H93" i="859"/>
  <c r="F93" i="859"/>
  <c r="D93" i="859"/>
  <c r="B93" i="859"/>
  <c r="H92" i="859"/>
  <c r="F92" i="859"/>
  <c r="D92" i="859"/>
  <c r="B92" i="859"/>
  <c r="H91" i="859"/>
  <c r="F91" i="859"/>
  <c r="D91" i="859"/>
  <c r="B91" i="859"/>
  <c r="H90" i="859"/>
  <c r="F90" i="859"/>
  <c r="D90" i="859"/>
  <c r="B90" i="859"/>
  <c r="H89" i="859"/>
  <c r="F89" i="859"/>
  <c r="D89" i="859"/>
  <c r="B89" i="859"/>
  <c r="H88" i="859"/>
  <c r="F88" i="859"/>
  <c r="D88" i="859"/>
  <c r="B88" i="859"/>
  <c r="H87" i="859"/>
  <c r="F87" i="859"/>
  <c r="D87" i="859"/>
  <c r="B87" i="859"/>
  <c r="H86" i="859"/>
  <c r="F86" i="859"/>
  <c r="D86" i="859"/>
  <c r="B86" i="859"/>
  <c r="H85" i="859"/>
  <c r="F85" i="859"/>
  <c r="D85" i="859"/>
  <c r="B85" i="859"/>
  <c r="H84" i="859"/>
  <c r="F84" i="859"/>
  <c r="D84" i="859"/>
  <c r="B84" i="859"/>
  <c r="H83" i="859"/>
  <c r="F83" i="859"/>
  <c r="D83" i="859"/>
  <c r="B83" i="859"/>
  <c r="H82" i="859"/>
  <c r="F82" i="859"/>
  <c r="D82" i="859"/>
  <c r="B82" i="859"/>
  <c r="H93" i="860"/>
  <c r="F93" i="860"/>
  <c r="D93" i="860"/>
  <c r="B93" i="860"/>
  <c r="H92" i="860"/>
  <c r="F92" i="860"/>
  <c r="D92" i="860"/>
  <c r="B92" i="860"/>
  <c r="H91" i="860"/>
  <c r="F91" i="860"/>
  <c r="D91" i="860"/>
  <c r="B91" i="860"/>
  <c r="H90" i="860"/>
  <c r="F90" i="860"/>
  <c r="D90" i="860"/>
  <c r="B90" i="860"/>
  <c r="H89" i="860"/>
  <c r="F89" i="860"/>
  <c r="D89" i="860"/>
  <c r="B89" i="860"/>
  <c r="H88" i="860"/>
  <c r="F88" i="860"/>
  <c r="D88" i="860"/>
  <c r="B88" i="860"/>
  <c r="H87" i="860"/>
  <c r="F87" i="860"/>
  <c r="D87" i="860"/>
  <c r="B87" i="860"/>
  <c r="H86" i="860"/>
  <c r="F86" i="860"/>
  <c r="D86" i="860"/>
  <c r="B86" i="860"/>
  <c r="H85" i="860"/>
  <c r="F85" i="860"/>
  <c r="D85" i="860"/>
  <c r="B85" i="860"/>
  <c r="H84" i="860"/>
  <c r="F84" i="860"/>
  <c r="D84" i="860"/>
  <c r="B84" i="860"/>
  <c r="H83" i="860"/>
  <c r="F83" i="860"/>
  <c r="D83" i="860"/>
  <c r="B83" i="860"/>
  <c r="H82" i="860"/>
  <c r="F82" i="860"/>
  <c r="D82" i="860"/>
  <c r="B82" i="860"/>
  <c r="H93" i="861"/>
  <c r="F93" i="861"/>
  <c r="D93" i="861"/>
  <c r="B93" i="861"/>
  <c r="H92" i="861"/>
  <c r="F92" i="861"/>
  <c r="D92" i="861"/>
  <c r="B92" i="861"/>
  <c r="H91" i="861"/>
  <c r="F91" i="861"/>
  <c r="D91" i="861"/>
  <c r="B91" i="861"/>
  <c r="H90" i="861"/>
  <c r="F90" i="861"/>
  <c r="D90" i="861"/>
  <c r="B90" i="861"/>
  <c r="H89" i="861"/>
  <c r="F89" i="861"/>
  <c r="D89" i="861"/>
  <c r="B89" i="861"/>
  <c r="H88" i="861"/>
  <c r="F88" i="861"/>
  <c r="D88" i="861"/>
  <c r="B88" i="861"/>
  <c r="H87" i="861"/>
  <c r="F87" i="861"/>
  <c r="D87" i="861"/>
  <c r="B87" i="861"/>
  <c r="H86" i="861"/>
  <c r="F86" i="861"/>
  <c r="D86" i="861"/>
  <c r="B86" i="861"/>
  <c r="H85" i="861"/>
  <c r="F85" i="861"/>
  <c r="D85" i="861"/>
  <c r="B85" i="861"/>
  <c r="H84" i="861"/>
  <c r="F84" i="861"/>
  <c r="D84" i="861"/>
  <c r="B84" i="861"/>
  <c r="H83" i="861"/>
  <c r="F83" i="861"/>
  <c r="D83" i="861"/>
  <c r="B83" i="861"/>
  <c r="H82" i="861"/>
  <c r="F82" i="861"/>
  <c r="D82" i="861"/>
  <c r="B82" i="861"/>
  <c r="H93" i="862"/>
  <c r="F93" i="862"/>
  <c r="D93" i="862"/>
  <c r="B93" i="862"/>
  <c r="H92" i="862"/>
  <c r="F92" i="862"/>
  <c r="D92" i="862"/>
  <c r="B92" i="862"/>
  <c r="H91" i="862"/>
  <c r="F91" i="862"/>
  <c r="D91" i="862"/>
  <c r="B91" i="862"/>
  <c r="H90" i="862"/>
  <c r="F90" i="862"/>
  <c r="D90" i="862"/>
  <c r="B90" i="862"/>
  <c r="H89" i="862"/>
  <c r="F89" i="862"/>
  <c r="D89" i="862"/>
  <c r="B89" i="862"/>
  <c r="H88" i="862"/>
  <c r="F88" i="862"/>
  <c r="D88" i="862"/>
  <c r="B88" i="862"/>
  <c r="H87" i="862"/>
  <c r="F87" i="862"/>
  <c r="D87" i="862"/>
  <c r="B87" i="862"/>
  <c r="H86" i="862"/>
  <c r="F86" i="862"/>
  <c r="D86" i="862"/>
  <c r="B86" i="862"/>
  <c r="H85" i="862"/>
  <c r="F85" i="862"/>
  <c r="D85" i="862"/>
  <c r="B85" i="862"/>
  <c r="H84" i="862"/>
  <c r="F84" i="862"/>
  <c r="D84" i="862"/>
  <c r="B84" i="862"/>
  <c r="H83" i="862"/>
  <c r="F83" i="862"/>
  <c r="D83" i="862"/>
  <c r="B83" i="862"/>
  <c r="H82" i="862"/>
  <c r="F82" i="862"/>
  <c r="D82" i="862"/>
  <c r="B82" i="862"/>
  <c r="H93" i="863"/>
  <c r="F93" i="863"/>
  <c r="D93" i="863"/>
  <c r="B93" i="863"/>
  <c r="H92" i="863"/>
  <c r="F92" i="863"/>
  <c r="D92" i="863"/>
  <c r="B92" i="863"/>
  <c r="H91" i="863"/>
  <c r="F91" i="863"/>
  <c r="D91" i="863"/>
  <c r="B91" i="863"/>
  <c r="H90" i="863"/>
  <c r="F90" i="863"/>
  <c r="D90" i="863"/>
  <c r="B90" i="863"/>
  <c r="H89" i="863"/>
  <c r="F89" i="863"/>
  <c r="D89" i="863"/>
  <c r="B89" i="863"/>
  <c r="H88" i="863"/>
  <c r="F88" i="863"/>
  <c r="D88" i="863"/>
  <c r="B88" i="863"/>
  <c r="H87" i="863"/>
  <c r="F87" i="863"/>
  <c r="D87" i="863"/>
  <c r="B87" i="863"/>
  <c r="H86" i="863"/>
  <c r="F86" i="863"/>
  <c r="D86" i="863"/>
  <c r="B86" i="863"/>
  <c r="H85" i="863"/>
  <c r="F85" i="863"/>
  <c r="D85" i="863"/>
  <c r="B85" i="863"/>
  <c r="H84" i="863"/>
  <c r="F84" i="863"/>
  <c r="D84" i="863"/>
  <c r="B84" i="863"/>
  <c r="H83" i="863"/>
  <c r="F83" i="863"/>
  <c r="D83" i="863"/>
  <c r="B83" i="863"/>
  <c r="H82" i="863"/>
  <c r="F82" i="863"/>
  <c r="D82" i="863"/>
  <c r="B82" i="863"/>
  <c r="H93" i="864"/>
  <c r="F93" i="864"/>
  <c r="D93" i="864"/>
  <c r="B93" i="864"/>
  <c r="H92" i="864"/>
  <c r="F92" i="864"/>
  <c r="D92" i="864"/>
  <c r="B92" i="864"/>
  <c r="H91" i="864"/>
  <c r="F91" i="864"/>
  <c r="D91" i="864"/>
  <c r="B91" i="864"/>
  <c r="H90" i="864"/>
  <c r="F90" i="864"/>
  <c r="D90" i="864"/>
  <c r="B90" i="864"/>
  <c r="H89" i="864"/>
  <c r="F89" i="864"/>
  <c r="D89" i="864"/>
  <c r="B89" i="864"/>
  <c r="H88" i="864"/>
  <c r="F88" i="864"/>
  <c r="D88" i="864"/>
  <c r="B88" i="864"/>
  <c r="H87" i="864"/>
  <c r="F87" i="864"/>
  <c r="D87" i="864"/>
  <c r="B87" i="864"/>
  <c r="H86" i="864"/>
  <c r="F86" i="864"/>
  <c r="D86" i="864"/>
  <c r="B86" i="864"/>
  <c r="H85" i="864"/>
  <c r="F85" i="864"/>
  <c r="D85" i="864"/>
  <c r="B85" i="864"/>
  <c r="H84" i="864"/>
  <c r="F84" i="864"/>
  <c r="D84" i="864"/>
  <c r="B84" i="864"/>
  <c r="H83" i="864"/>
  <c r="F83" i="864"/>
  <c r="D83" i="864"/>
  <c r="B83" i="864"/>
  <c r="H82" i="864"/>
  <c r="F82" i="864"/>
  <c r="D82" i="864"/>
  <c r="B82" i="864"/>
  <c r="H93" i="865"/>
  <c r="F93" i="865"/>
  <c r="D93" i="865"/>
  <c r="B93" i="865"/>
  <c r="H92" i="865"/>
  <c r="F92" i="865"/>
  <c r="D92" i="865"/>
  <c r="B92" i="865"/>
  <c r="H91" i="865"/>
  <c r="F91" i="865"/>
  <c r="D91" i="865"/>
  <c r="B91" i="865"/>
  <c r="H90" i="865"/>
  <c r="F90" i="865"/>
  <c r="D90" i="865"/>
  <c r="B90" i="865"/>
  <c r="H89" i="865"/>
  <c r="F89" i="865"/>
  <c r="D89" i="865"/>
  <c r="B89" i="865"/>
  <c r="H88" i="865"/>
  <c r="F88" i="865"/>
  <c r="D88" i="865"/>
  <c r="B88" i="865"/>
  <c r="H87" i="865"/>
  <c r="F87" i="865"/>
  <c r="D87" i="865"/>
  <c r="B87" i="865"/>
  <c r="H86" i="865"/>
  <c r="F86" i="865"/>
  <c r="D86" i="865"/>
  <c r="B86" i="865"/>
  <c r="H85" i="865"/>
  <c r="F85" i="865"/>
  <c r="D85" i="865"/>
  <c r="B85" i="865"/>
  <c r="H84" i="865"/>
  <c r="F84" i="865"/>
  <c r="D84" i="865"/>
  <c r="B84" i="865"/>
  <c r="H83" i="865"/>
  <c r="F83" i="865"/>
  <c r="D83" i="865"/>
  <c r="B83" i="865"/>
  <c r="H82" i="865"/>
  <c r="F82" i="865"/>
  <c r="D82" i="865"/>
  <c r="H93" i="866"/>
  <c r="F93" i="866"/>
  <c r="D93" i="866"/>
  <c r="B93" i="866"/>
  <c r="H92" i="866"/>
  <c r="F92" i="866"/>
  <c r="D92" i="866"/>
  <c r="B92" i="866"/>
  <c r="H91" i="866"/>
  <c r="F91" i="866"/>
  <c r="D91" i="866"/>
  <c r="B91" i="866"/>
  <c r="H90" i="866"/>
  <c r="F90" i="866"/>
  <c r="D90" i="866"/>
  <c r="B90" i="866"/>
  <c r="H89" i="866"/>
  <c r="F89" i="866"/>
  <c r="D89" i="866"/>
  <c r="B89" i="866"/>
  <c r="H88" i="866"/>
  <c r="F88" i="866"/>
  <c r="D88" i="866"/>
  <c r="B88" i="866"/>
  <c r="H87" i="866"/>
  <c r="F87" i="866"/>
  <c r="D87" i="866"/>
  <c r="B87" i="866"/>
  <c r="H86" i="866"/>
  <c r="F86" i="866"/>
  <c r="D86" i="866"/>
  <c r="B86" i="866"/>
  <c r="H85" i="866"/>
  <c r="F85" i="866"/>
  <c r="D85" i="866"/>
  <c r="B85" i="866"/>
  <c r="H84" i="866"/>
  <c r="F84" i="866"/>
  <c r="D84" i="866"/>
  <c r="B84" i="866"/>
  <c r="H83" i="866"/>
  <c r="F83" i="866"/>
  <c r="D83" i="866"/>
  <c r="B83" i="866"/>
  <c r="H82" i="866"/>
  <c r="F82" i="866"/>
  <c r="D82" i="866"/>
  <c r="B82" i="866"/>
  <c r="H93" i="867"/>
  <c r="F93" i="867"/>
  <c r="D93" i="867"/>
  <c r="B93" i="867"/>
  <c r="H92" i="867"/>
  <c r="F92" i="867"/>
  <c r="D92" i="867"/>
  <c r="B92" i="867"/>
  <c r="H91" i="867"/>
  <c r="F91" i="867"/>
  <c r="D91" i="867"/>
  <c r="B91" i="867"/>
  <c r="H90" i="867"/>
  <c r="F90" i="867"/>
  <c r="D90" i="867"/>
  <c r="B90" i="867"/>
  <c r="H89" i="867"/>
  <c r="F89" i="867"/>
  <c r="D89" i="867"/>
  <c r="B89" i="867"/>
  <c r="H88" i="867"/>
  <c r="F88" i="867"/>
  <c r="D88" i="867"/>
  <c r="B88" i="867"/>
  <c r="H87" i="867"/>
  <c r="F87" i="867"/>
  <c r="D87" i="867"/>
  <c r="B87" i="867"/>
  <c r="H86" i="867"/>
  <c r="F86" i="867"/>
  <c r="D86" i="867"/>
  <c r="B86" i="867"/>
  <c r="H85" i="867"/>
  <c r="F85" i="867"/>
  <c r="D85" i="867"/>
  <c r="B85" i="867"/>
  <c r="H84" i="867"/>
  <c r="F84" i="867"/>
  <c r="D84" i="867"/>
  <c r="B84" i="867"/>
  <c r="H83" i="867"/>
  <c r="F83" i="867"/>
  <c r="D83" i="867"/>
  <c r="B83" i="867"/>
  <c r="H82" i="867"/>
  <c r="F82" i="867"/>
  <c r="D82" i="867"/>
  <c r="B82" i="867"/>
  <c r="H93" i="868"/>
  <c r="F93" i="868"/>
  <c r="D93" i="868"/>
  <c r="B93" i="868"/>
  <c r="H92" i="868"/>
  <c r="F92" i="868"/>
  <c r="D92" i="868"/>
  <c r="B92" i="868"/>
  <c r="H91" i="868"/>
  <c r="F91" i="868"/>
  <c r="D91" i="868"/>
  <c r="B91" i="868"/>
  <c r="H90" i="868"/>
  <c r="F90" i="868"/>
  <c r="D90" i="868"/>
  <c r="B90" i="868"/>
  <c r="H89" i="868"/>
  <c r="F89" i="868"/>
  <c r="D89" i="868"/>
  <c r="B89" i="868"/>
  <c r="H88" i="868"/>
  <c r="F88" i="868"/>
  <c r="D88" i="868"/>
  <c r="B88" i="868"/>
  <c r="H87" i="868"/>
  <c r="F87" i="868"/>
  <c r="D87" i="868"/>
  <c r="B87" i="868"/>
  <c r="H86" i="868"/>
  <c r="F86" i="868"/>
  <c r="D86" i="868"/>
  <c r="B86" i="868"/>
  <c r="H85" i="868"/>
  <c r="F85" i="868"/>
  <c r="D85" i="868"/>
  <c r="B85" i="868"/>
  <c r="H84" i="868"/>
  <c r="F84" i="868"/>
  <c r="D84" i="868"/>
  <c r="B84" i="868"/>
  <c r="H83" i="868"/>
  <c r="F83" i="868"/>
  <c r="D83" i="868"/>
  <c r="B83" i="868"/>
  <c r="H82" i="868"/>
  <c r="F82" i="868"/>
  <c r="D82" i="868"/>
  <c r="B82" i="868"/>
  <c r="H93" i="869"/>
  <c r="F93" i="869"/>
  <c r="D93" i="869"/>
  <c r="B93" i="869"/>
  <c r="H92" i="869"/>
  <c r="F92" i="869"/>
  <c r="D92" i="869"/>
  <c r="B92" i="869"/>
  <c r="H91" i="869"/>
  <c r="F91" i="869"/>
  <c r="D91" i="869"/>
  <c r="B91" i="869"/>
  <c r="H90" i="869"/>
  <c r="F90" i="869"/>
  <c r="D90" i="869"/>
  <c r="B90" i="869"/>
  <c r="H89" i="869"/>
  <c r="F89" i="869"/>
  <c r="D89" i="869"/>
  <c r="B89" i="869"/>
  <c r="H88" i="869"/>
  <c r="F88" i="869"/>
  <c r="D88" i="869"/>
  <c r="B88" i="869"/>
  <c r="H87" i="869"/>
  <c r="F87" i="869"/>
  <c r="D87" i="869"/>
  <c r="B87" i="869"/>
  <c r="H86" i="869"/>
  <c r="F86" i="869"/>
  <c r="D86" i="869"/>
  <c r="B86" i="869"/>
  <c r="H85" i="869"/>
  <c r="F85" i="869"/>
  <c r="D85" i="869"/>
  <c r="B85" i="869"/>
  <c r="H84" i="869"/>
  <c r="F84" i="869"/>
  <c r="D84" i="869"/>
  <c r="B84" i="869"/>
  <c r="H83" i="869"/>
  <c r="F83" i="869"/>
  <c r="D83" i="869"/>
  <c r="B83" i="869"/>
  <c r="H82" i="869"/>
  <c r="F82" i="869"/>
  <c r="D82" i="869"/>
  <c r="B82" i="869"/>
  <c r="H93" i="870"/>
  <c r="F93" i="870"/>
  <c r="D93" i="870"/>
  <c r="B93" i="870"/>
  <c r="H92" i="870"/>
  <c r="F92" i="870"/>
  <c r="D92" i="870"/>
  <c r="B92" i="870"/>
  <c r="H91" i="870"/>
  <c r="F91" i="870"/>
  <c r="D91" i="870"/>
  <c r="B91" i="870"/>
  <c r="H90" i="870"/>
  <c r="F90" i="870"/>
  <c r="D90" i="870"/>
  <c r="B90" i="870"/>
  <c r="H89" i="870"/>
  <c r="F89" i="870"/>
  <c r="D89" i="870"/>
  <c r="B89" i="870"/>
  <c r="H88" i="870"/>
  <c r="F88" i="870"/>
  <c r="D88" i="870"/>
  <c r="B88" i="870"/>
  <c r="H87" i="870"/>
  <c r="F87" i="870"/>
  <c r="D87" i="870"/>
  <c r="B87" i="870"/>
  <c r="H86" i="870"/>
  <c r="F86" i="870"/>
  <c r="D86" i="870"/>
  <c r="B86" i="870"/>
  <c r="H85" i="870"/>
  <c r="F85" i="870"/>
  <c r="D85" i="870"/>
  <c r="B85" i="870"/>
  <c r="H84" i="870"/>
  <c r="F84" i="870"/>
  <c r="D84" i="870"/>
  <c r="B84" i="870"/>
  <c r="H83" i="870"/>
  <c r="F83" i="870"/>
  <c r="D83" i="870"/>
  <c r="B83" i="870"/>
  <c r="H82" i="870"/>
  <c r="F82" i="870"/>
  <c r="D82" i="870"/>
  <c r="B82" i="870"/>
  <c r="H93" i="871"/>
  <c r="F93" i="871"/>
  <c r="D93" i="871"/>
  <c r="B93" i="871"/>
  <c r="H92" i="871"/>
  <c r="F92" i="871"/>
  <c r="D92" i="871"/>
  <c r="B92" i="871"/>
  <c r="H91" i="871"/>
  <c r="F91" i="871"/>
  <c r="D91" i="871"/>
  <c r="B91" i="871"/>
  <c r="H90" i="871"/>
  <c r="F90" i="871"/>
  <c r="D90" i="871"/>
  <c r="B90" i="871"/>
  <c r="H89" i="871"/>
  <c r="F89" i="871"/>
  <c r="D89" i="871"/>
  <c r="B89" i="871"/>
  <c r="H88" i="871"/>
  <c r="F88" i="871"/>
  <c r="D88" i="871"/>
  <c r="B88" i="871"/>
  <c r="H87" i="871"/>
  <c r="F87" i="871"/>
  <c r="D87" i="871"/>
  <c r="B87" i="871"/>
  <c r="H86" i="871"/>
  <c r="F86" i="871"/>
  <c r="D86" i="871"/>
  <c r="B86" i="871"/>
  <c r="H85" i="871"/>
  <c r="F85" i="871"/>
  <c r="D85" i="871"/>
  <c r="B85" i="871"/>
  <c r="H84" i="871"/>
  <c r="F84" i="871"/>
  <c r="D84" i="871"/>
  <c r="B84" i="871"/>
  <c r="H83" i="871"/>
  <c r="F83" i="871"/>
  <c r="D83" i="871"/>
  <c r="B83" i="871"/>
  <c r="H82" i="871"/>
  <c r="F82" i="871"/>
  <c r="D82" i="871"/>
  <c r="B82" i="871"/>
  <c r="H93" i="872"/>
  <c r="F93" i="872"/>
  <c r="D93" i="872"/>
  <c r="B93" i="872"/>
  <c r="H92" i="872"/>
  <c r="F92" i="872"/>
  <c r="D92" i="872"/>
  <c r="B92" i="872"/>
  <c r="H91" i="872"/>
  <c r="F91" i="872"/>
  <c r="D91" i="872"/>
  <c r="B91" i="872"/>
  <c r="H90" i="872"/>
  <c r="F90" i="872"/>
  <c r="D90" i="872"/>
  <c r="B90" i="872"/>
  <c r="H89" i="872"/>
  <c r="F89" i="872"/>
  <c r="D89" i="872"/>
  <c r="B89" i="872"/>
  <c r="H88" i="872"/>
  <c r="F88" i="872"/>
  <c r="D88" i="872"/>
  <c r="B88" i="872"/>
  <c r="H87" i="872"/>
  <c r="F87" i="872"/>
  <c r="D87" i="872"/>
  <c r="B87" i="872"/>
  <c r="H86" i="872"/>
  <c r="F86" i="872"/>
  <c r="D86" i="872"/>
  <c r="B86" i="872"/>
  <c r="H85" i="872"/>
  <c r="F85" i="872"/>
  <c r="D85" i="872"/>
  <c r="B85" i="872"/>
  <c r="H84" i="872"/>
  <c r="F84" i="872"/>
  <c r="D84" i="872"/>
  <c r="B84" i="872"/>
  <c r="H83" i="872"/>
  <c r="F83" i="872"/>
  <c r="D83" i="872"/>
  <c r="B83" i="872"/>
  <c r="H82" i="872"/>
  <c r="F82" i="872"/>
  <c r="D82" i="872"/>
  <c r="B82" i="872"/>
  <c r="H93" i="873"/>
  <c r="F93" i="873"/>
  <c r="D93" i="873"/>
  <c r="B93" i="873"/>
  <c r="H92" i="873"/>
  <c r="F92" i="873"/>
  <c r="D92" i="873"/>
  <c r="B92" i="873"/>
  <c r="H91" i="873"/>
  <c r="F91" i="873"/>
  <c r="D91" i="873"/>
  <c r="B91" i="873"/>
  <c r="H90" i="873"/>
  <c r="F90" i="873"/>
  <c r="D90" i="873"/>
  <c r="B90" i="873"/>
  <c r="H89" i="873"/>
  <c r="F89" i="873"/>
  <c r="D89" i="873"/>
  <c r="B89" i="873"/>
  <c r="H88" i="873"/>
  <c r="F88" i="873"/>
  <c r="D88" i="873"/>
  <c r="B88" i="873"/>
  <c r="H87" i="873"/>
  <c r="F87" i="873"/>
  <c r="D87" i="873"/>
  <c r="B87" i="873"/>
  <c r="H86" i="873"/>
  <c r="F86" i="873"/>
  <c r="D86" i="873"/>
  <c r="B86" i="873"/>
  <c r="H85" i="873"/>
  <c r="F85" i="873"/>
  <c r="D85" i="873"/>
  <c r="B85" i="873"/>
  <c r="H84" i="873"/>
  <c r="F84" i="873"/>
  <c r="D84" i="873"/>
  <c r="B84" i="873"/>
  <c r="H83" i="873"/>
  <c r="F83" i="873"/>
  <c r="D83" i="873"/>
  <c r="B83" i="873"/>
  <c r="H82" i="873"/>
  <c r="F82" i="873"/>
  <c r="D82" i="873"/>
  <c r="B82" i="873"/>
  <c r="H93" i="875"/>
  <c r="F93" i="875"/>
  <c r="D93" i="875"/>
  <c r="B93" i="875"/>
  <c r="H92" i="875"/>
  <c r="F92" i="875"/>
  <c r="D92" i="875"/>
  <c r="B92" i="875"/>
  <c r="H91" i="875"/>
  <c r="F91" i="875"/>
  <c r="D91" i="875"/>
  <c r="B91" i="875"/>
  <c r="H90" i="875"/>
  <c r="F90" i="875"/>
  <c r="D90" i="875"/>
  <c r="B90" i="875"/>
  <c r="H89" i="875"/>
  <c r="F89" i="875"/>
  <c r="D89" i="875"/>
  <c r="B89" i="875"/>
  <c r="H88" i="875"/>
  <c r="F88" i="875"/>
  <c r="D88" i="875"/>
  <c r="B88" i="875"/>
  <c r="H87" i="875"/>
  <c r="F87" i="875"/>
  <c r="D87" i="875"/>
  <c r="B87" i="875"/>
  <c r="H86" i="875"/>
  <c r="F86" i="875"/>
  <c r="D86" i="875"/>
  <c r="B86" i="875"/>
  <c r="H85" i="875"/>
  <c r="F85" i="875"/>
  <c r="D85" i="875"/>
  <c r="B85" i="875"/>
  <c r="H84" i="875"/>
  <c r="F84" i="875"/>
  <c r="D84" i="875"/>
  <c r="B84" i="875"/>
  <c r="H83" i="875"/>
  <c r="F83" i="875"/>
  <c r="D83" i="875"/>
  <c r="B83" i="875"/>
  <c r="H82" i="875"/>
  <c r="F82" i="875"/>
  <c r="D82" i="875"/>
  <c r="B82" i="875"/>
  <c r="H93" i="876"/>
  <c r="F93" i="876"/>
  <c r="D93" i="876"/>
  <c r="B93" i="876"/>
  <c r="H92" i="876"/>
  <c r="F92" i="876"/>
  <c r="D92" i="876"/>
  <c r="B92" i="876"/>
  <c r="H91" i="876"/>
  <c r="F91" i="876"/>
  <c r="D91" i="876"/>
  <c r="B91" i="876"/>
  <c r="H90" i="876"/>
  <c r="F90" i="876"/>
  <c r="D90" i="876"/>
  <c r="B90" i="876"/>
  <c r="H89" i="876"/>
  <c r="F89" i="876"/>
  <c r="D89" i="876"/>
  <c r="B89" i="876"/>
  <c r="H88" i="876"/>
  <c r="F88" i="876"/>
  <c r="D88" i="876"/>
  <c r="B88" i="876"/>
  <c r="H87" i="876"/>
  <c r="F87" i="876"/>
  <c r="D87" i="876"/>
  <c r="B87" i="876"/>
  <c r="H86" i="876"/>
  <c r="F86" i="876"/>
  <c r="D86" i="876"/>
  <c r="B86" i="876"/>
  <c r="H85" i="876"/>
  <c r="F85" i="876"/>
  <c r="D85" i="876"/>
  <c r="B85" i="876"/>
  <c r="H84" i="876"/>
  <c r="F84" i="876"/>
  <c r="D84" i="876"/>
  <c r="B84" i="876"/>
  <c r="H83" i="876"/>
  <c r="F83" i="876"/>
  <c r="D83" i="876"/>
  <c r="B83" i="876"/>
  <c r="H82" i="876"/>
  <c r="F82" i="876"/>
  <c r="D82" i="876"/>
  <c r="B82" i="876"/>
  <c r="H93" i="877"/>
  <c r="F93" i="877"/>
  <c r="D93" i="877"/>
  <c r="B93" i="877"/>
  <c r="H92" i="877"/>
  <c r="F92" i="877"/>
  <c r="D92" i="877"/>
  <c r="B92" i="877"/>
  <c r="H91" i="877"/>
  <c r="F91" i="877"/>
  <c r="D91" i="877"/>
  <c r="B91" i="877"/>
  <c r="H90" i="877"/>
  <c r="F90" i="877"/>
  <c r="D90" i="877"/>
  <c r="B90" i="877"/>
  <c r="H89" i="877"/>
  <c r="F89" i="877"/>
  <c r="D89" i="877"/>
  <c r="B89" i="877"/>
  <c r="H88" i="877"/>
  <c r="F88" i="877"/>
  <c r="D88" i="877"/>
  <c r="B88" i="877"/>
  <c r="H87" i="877"/>
  <c r="F87" i="877"/>
  <c r="D87" i="877"/>
  <c r="B87" i="877"/>
  <c r="H86" i="877"/>
  <c r="F86" i="877"/>
  <c r="D86" i="877"/>
  <c r="B86" i="877"/>
  <c r="H85" i="877"/>
  <c r="F85" i="877"/>
  <c r="D85" i="877"/>
  <c r="B85" i="877"/>
  <c r="H84" i="877"/>
  <c r="F84" i="877"/>
  <c r="D84" i="877"/>
  <c r="B84" i="877"/>
  <c r="H83" i="877"/>
  <c r="F83" i="877"/>
  <c r="D83" i="877"/>
  <c r="B83" i="877"/>
  <c r="H82" i="877"/>
  <c r="F82" i="877"/>
  <c r="D82" i="877"/>
  <c r="B82" i="877"/>
  <c r="H93" i="878"/>
  <c r="F93" i="878"/>
  <c r="D93" i="878"/>
  <c r="B93" i="878"/>
  <c r="H92" i="878"/>
  <c r="F92" i="878"/>
  <c r="D92" i="878"/>
  <c r="B92" i="878"/>
  <c r="H91" i="878"/>
  <c r="F91" i="878"/>
  <c r="D91" i="878"/>
  <c r="B91" i="878"/>
  <c r="H90" i="878"/>
  <c r="F90" i="878"/>
  <c r="D90" i="878"/>
  <c r="B90" i="878"/>
  <c r="H89" i="878"/>
  <c r="F89" i="878"/>
  <c r="D89" i="878"/>
  <c r="B89" i="878"/>
  <c r="H88" i="878"/>
  <c r="F88" i="878"/>
  <c r="D88" i="878"/>
  <c r="B88" i="878"/>
  <c r="H87" i="878"/>
  <c r="F87" i="878"/>
  <c r="D87" i="878"/>
  <c r="B87" i="878"/>
  <c r="H86" i="878"/>
  <c r="F86" i="878"/>
  <c r="D86" i="878"/>
  <c r="B86" i="878"/>
  <c r="H85" i="878"/>
  <c r="F85" i="878"/>
  <c r="D85" i="878"/>
  <c r="B85" i="878"/>
  <c r="H84" i="878"/>
  <c r="F84" i="878"/>
  <c r="D84" i="878"/>
  <c r="B84" i="878"/>
  <c r="H83" i="878"/>
  <c r="F83" i="878"/>
  <c r="D83" i="878"/>
  <c r="B83" i="878"/>
  <c r="H82" i="878"/>
  <c r="F82" i="878"/>
  <c r="D82" i="878"/>
  <c r="B82" i="878"/>
  <c r="H93" i="879"/>
  <c r="F93" i="879"/>
  <c r="D93" i="879"/>
  <c r="B93" i="879"/>
  <c r="H92" i="879"/>
  <c r="F92" i="879"/>
  <c r="D92" i="879"/>
  <c r="B92" i="879"/>
  <c r="H91" i="879"/>
  <c r="F91" i="879"/>
  <c r="D91" i="879"/>
  <c r="B91" i="879"/>
  <c r="H90" i="879"/>
  <c r="F90" i="879"/>
  <c r="D90" i="879"/>
  <c r="B90" i="879"/>
  <c r="H89" i="879"/>
  <c r="F89" i="879"/>
  <c r="D89" i="879"/>
  <c r="B89" i="879"/>
  <c r="H88" i="879"/>
  <c r="F88" i="879"/>
  <c r="D88" i="879"/>
  <c r="B88" i="879"/>
  <c r="H87" i="879"/>
  <c r="F87" i="879"/>
  <c r="D87" i="879"/>
  <c r="B87" i="879"/>
  <c r="H86" i="879"/>
  <c r="F86" i="879"/>
  <c r="D86" i="879"/>
  <c r="B86" i="879"/>
  <c r="H85" i="879"/>
  <c r="F85" i="879"/>
  <c r="D85" i="879"/>
  <c r="B85" i="879"/>
  <c r="H84" i="879"/>
  <c r="F84" i="879"/>
  <c r="D84" i="879"/>
  <c r="B84" i="879"/>
  <c r="H83" i="879"/>
  <c r="F83" i="879"/>
  <c r="D83" i="879"/>
  <c r="B83" i="879"/>
  <c r="H82" i="879"/>
  <c r="F82" i="879"/>
  <c r="D82" i="879"/>
  <c r="B82" i="879"/>
  <c r="H93" i="880"/>
  <c r="F93" i="880"/>
  <c r="D93" i="880"/>
  <c r="B93" i="880"/>
  <c r="H92" i="880"/>
  <c r="F92" i="880"/>
  <c r="D92" i="880"/>
  <c r="B92" i="880"/>
  <c r="H91" i="880"/>
  <c r="F91" i="880"/>
  <c r="D91" i="880"/>
  <c r="B91" i="880"/>
  <c r="H90" i="880"/>
  <c r="F90" i="880"/>
  <c r="D90" i="880"/>
  <c r="B90" i="880"/>
  <c r="H89" i="880"/>
  <c r="F89" i="880"/>
  <c r="D89" i="880"/>
  <c r="B89" i="880"/>
  <c r="H88" i="880"/>
  <c r="F88" i="880"/>
  <c r="D88" i="880"/>
  <c r="B88" i="880"/>
  <c r="H87" i="880"/>
  <c r="F87" i="880"/>
  <c r="D87" i="880"/>
  <c r="B87" i="880"/>
  <c r="H86" i="880"/>
  <c r="F86" i="880"/>
  <c r="D86" i="880"/>
  <c r="B86" i="880"/>
  <c r="H85" i="880"/>
  <c r="F85" i="880"/>
  <c r="D85" i="880"/>
  <c r="B85" i="880"/>
  <c r="H84" i="880"/>
  <c r="F84" i="880"/>
  <c r="D84" i="880"/>
  <c r="B84" i="880"/>
  <c r="H83" i="880"/>
  <c r="F83" i="880"/>
  <c r="D83" i="880"/>
  <c r="B83" i="880"/>
  <c r="H82" i="880"/>
  <c r="F82" i="880"/>
  <c r="D82" i="880"/>
  <c r="B82" i="880"/>
  <c r="H93" i="881"/>
  <c r="F93" i="881"/>
  <c r="D93" i="881"/>
  <c r="B93" i="881"/>
  <c r="H92" i="881"/>
  <c r="F92" i="881"/>
  <c r="D92" i="881"/>
  <c r="B92" i="881"/>
  <c r="H91" i="881"/>
  <c r="F91" i="881"/>
  <c r="D91" i="881"/>
  <c r="B91" i="881"/>
  <c r="H90" i="881"/>
  <c r="F90" i="881"/>
  <c r="D90" i="881"/>
  <c r="B90" i="881"/>
  <c r="H89" i="881"/>
  <c r="F89" i="881"/>
  <c r="D89" i="881"/>
  <c r="B89" i="881"/>
  <c r="H88" i="881"/>
  <c r="F88" i="881"/>
  <c r="D88" i="881"/>
  <c r="B88" i="881"/>
  <c r="H87" i="881"/>
  <c r="F87" i="881"/>
  <c r="D87" i="881"/>
  <c r="B87" i="881"/>
  <c r="H86" i="881"/>
  <c r="F86" i="881"/>
  <c r="D86" i="881"/>
  <c r="B86" i="881"/>
  <c r="H85" i="881"/>
  <c r="F85" i="881"/>
  <c r="D85" i="881"/>
  <c r="B85" i="881"/>
  <c r="H84" i="881"/>
  <c r="F84" i="881"/>
  <c r="D84" i="881"/>
  <c r="B84" i="881"/>
  <c r="H83" i="881"/>
  <c r="F83" i="881"/>
  <c r="D83" i="881"/>
  <c r="B83" i="881"/>
  <c r="H82" i="881"/>
  <c r="F82" i="881"/>
  <c r="D82" i="881"/>
  <c r="B82" i="881"/>
  <c r="H93" i="882"/>
  <c r="F93" i="882"/>
  <c r="D93" i="882"/>
  <c r="B93" i="882"/>
  <c r="H92" i="882"/>
  <c r="F92" i="882"/>
  <c r="D92" i="882"/>
  <c r="B92" i="882"/>
  <c r="H91" i="882"/>
  <c r="F91" i="882"/>
  <c r="D91" i="882"/>
  <c r="B91" i="882"/>
  <c r="H90" i="882"/>
  <c r="F90" i="882"/>
  <c r="D90" i="882"/>
  <c r="B90" i="882"/>
  <c r="H89" i="882"/>
  <c r="F89" i="882"/>
  <c r="D89" i="882"/>
  <c r="B89" i="882"/>
  <c r="H88" i="882"/>
  <c r="F88" i="882"/>
  <c r="D88" i="882"/>
  <c r="B88" i="882"/>
  <c r="H87" i="882"/>
  <c r="F87" i="882"/>
  <c r="D87" i="882"/>
  <c r="B87" i="882"/>
  <c r="H86" i="882"/>
  <c r="F86" i="882"/>
  <c r="D86" i="882"/>
  <c r="B86" i="882"/>
  <c r="H85" i="882"/>
  <c r="F85" i="882"/>
  <c r="D85" i="882"/>
  <c r="B85" i="882"/>
  <c r="H84" i="882"/>
  <c r="F84" i="882"/>
  <c r="D84" i="882"/>
  <c r="B84" i="882"/>
  <c r="H83" i="882"/>
  <c r="F83" i="882"/>
  <c r="D83" i="882"/>
  <c r="B83" i="882"/>
  <c r="H82" i="882"/>
  <c r="F82" i="882"/>
  <c r="D82" i="882"/>
  <c r="B82" i="882"/>
  <c r="H93" i="883"/>
  <c r="F93" i="883"/>
  <c r="D93" i="883"/>
  <c r="B93" i="883"/>
  <c r="H92" i="883"/>
  <c r="F92" i="883"/>
  <c r="D92" i="883"/>
  <c r="B92" i="883"/>
  <c r="H91" i="883"/>
  <c r="F91" i="883"/>
  <c r="D91" i="883"/>
  <c r="B91" i="883"/>
  <c r="H90" i="883"/>
  <c r="F90" i="883"/>
  <c r="D90" i="883"/>
  <c r="B90" i="883"/>
  <c r="H89" i="883"/>
  <c r="F89" i="883"/>
  <c r="D89" i="883"/>
  <c r="B89" i="883"/>
  <c r="H88" i="883"/>
  <c r="F88" i="883"/>
  <c r="D88" i="883"/>
  <c r="B88" i="883"/>
  <c r="H87" i="883"/>
  <c r="F87" i="883"/>
  <c r="D87" i="883"/>
  <c r="B87" i="883"/>
  <c r="H86" i="883"/>
  <c r="F86" i="883"/>
  <c r="D86" i="883"/>
  <c r="B86" i="883"/>
  <c r="H85" i="883"/>
  <c r="F85" i="883"/>
  <c r="D85" i="883"/>
  <c r="B85" i="883"/>
  <c r="H84" i="883"/>
  <c r="F84" i="883"/>
  <c r="D84" i="883"/>
  <c r="B84" i="883"/>
  <c r="H83" i="883"/>
  <c r="F83" i="883"/>
  <c r="D83" i="883"/>
  <c r="B83" i="883"/>
  <c r="H82" i="883"/>
  <c r="F82" i="883"/>
  <c r="D82" i="883"/>
  <c r="B82" i="883"/>
  <c r="H93" i="884"/>
  <c r="F93" i="884"/>
  <c r="D93" i="884"/>
  <c r="B93" i="884"/>
  <c r="H92" i="884"/>
  <c r="F92" i="884"/>
  <c r="D92" i="884"/>
  <c r="B92" i="884"/>
  <c r="H91" i="884"/>
  <c r="F91" i="884"/>
  <c r="D91" i="884"/>
  <c r="B91" i="884"/>
  <c r="H90" i="884"/>
  <c r="F90" i="884"/>
  <c r="D90" i="884"/>
  <c r="B90" i="884"/>
  <c r="H89" i="884"/>
  <c r="F89" i="884"/>
  <c r="D89" i="884"/>
  <c r="B89" i="884"/>
  <c r="H88" i="884"/>
  <c r="F88" i="884"/>
  <c r="D88" i="884"/>
  <c r="B88" i="884"/>
  <c r="H87" i="884"/>
  <c r="F87" i="884"/>
  <c r="D87" i="884"/>
  <c r="B87" i="884"/>
  <c r="H86" i="884"/>
  <c r="F86" i="884"/>
  <c r="D86" i="884"/>
  <c r="B86" i="884"/>
  <c r="H85" i="884"/>
  <c r="F85" i="884"/>
  <c r="D85" i="884"/>
  <c r="B85" i="884"/>
  <c r="H84" i="884"/>
  <c r="F84" i="884"/>
  <c r="D84" i="884"/>
  <c r="B84" i="884"/>
  <c r="H83" i="884"/>
  <c r="F83" i="884"/>
  <c r="D83" i="884"/>
  <c r="B83" i="884"/>
  <c r="H82" i="884"/>
  <c r="F82" i="884"/>
  <c r="D82" i="884"/>
  <c r="B82" i="884"/>
  <c r="H93" i="885"/>
  <c r="F93" i="885"/>
  <c r="D93" i="885"/>
  <c r="B93" i="885"/>
  <c r="H92" i="885"/>
  <c r="F92" i="885"/>
  <c r="D92" i="885"/>
  <c r="B92" i="885"/>
  <c r="H91" i="885"/>
  <c r="F91" i="885"/>
  <c r="D91" i="885"/>
  <c r="B91" i="885"/>
  <c r="H90" i="885"/>
  <c r="F90" i="885"/>
  <c r="D90" i="885"/>
  <c r="B90" i="885"/>
  <c r="H89" i="885"/>
  <c r="F89" i="885"/>
  <c r="D89" i="885"/>
  <c r="B89" i="885"/>
  <c r="H88" i="885"/>
  <c r="F88" i="885"/>
  <c r="D88" i="885"/>
  <c r="B88" i="885"/>
  <c r="H87" i="885"/>
  <c r="F87" i="885"/>
  <c r="D87" i="885"/>
  <c r="B87" i="885"/>
  <c r="H86" i="885"/>
  <c r="F86" i="885"/>
  <c r="D86" i="885"/>
  <c r="B86" i="885"/>
  <c r="H85" i="885"/>
  <c r="F85" i="885"/>
  <c r="D85" i="885"/>
  <c r="B85" i="885"/>
  <c r="H84" i="885"/>
  <c r="F84" i="885"/>
  <c r="D84" i="885"/>
  <c r="B84" i="885"/>
  <c r="H83" i="885"/>
  <c r="F83" i="885"/>
  <c r="D83" i="885"/>
  <c r="B83" i="885"/>
  <c r="H82" i="885"/>
  <c r="F82" i="885"/>
  <c r="D82" i="885"/>
  <c r="B82" i="885"/>
  <c r="F83" i="874"/>
  <c r="F84" i="874"/>
  <c r="F85" i="874"/>
  <c r="F86" i="874"/>
  <c r="F87" i="874"/>
  <c r="F88" i="874"/>
  <c r="F89" i="874"/>
  <c r="F90" i="874"/>
  <c r="F91" i="874"/>
  <c r="F92" i="874"/>
  <c r="F93" i="874"/>
  <c r="F82" i="874"/>
  <c r="B83" i="874"/>
  <c r="B84" i="874"/>
  <c r="B85" i="874"/>
  <c r="B86" i="874"/>
  <c r="B87" i="874"/>
  <c r="B88" i="874"/>
  <c r="B89" i="874"/>
  <c r="B90" i="874"/>
  <c r="B91" i="874"/>
  <c r="B92" i="874"/>
  <c r="B93" i="874"/>
  <c r="B82" i="874"/>
  <c r="H93" i="874"/>
  <c r="D93" i="874"/>
  <c r="H92" i="874"/>
  <c r="D92" i="874"/>
  <c r="H91" i="874"/>
  <c r="D91" i="874"/>
  <c r="H90" i="874"/>
  <c r="D90" i="874"/>
  <c r="H89" i="874"/>
  <c r="D89" i="874"/>
  <c r="H88" i="874"/>
  <c r="D88" i="874"/>
  <c r="H87" i="874"/>
  <c r="D87" i="874"/>
  <c r="H86" i="874"/>
  <c r="D86" i="874"/>
  <c r="H85" i="874"/>
  <c r="D85" i="874"/>
  <c r="H84" i="874"/>
  <c r="D84" i="874"/>
  <c r="H83" i="874"/>
  <c r="D83" i="874"/>
  <c r="H82" i="874"/>
  <c r="D82" i="874"/>
  <c r="F20" i="889"/>
  <c r="C61" i="258"/>
  <c r="D20" i="889"/>
  <c r="F20" i="828"/>
  <c r="D20" i="828"/>
  <c r="F20" i="829"/>
  <c r="D20" i="829"/>
  <c r="F20" i="830"/>
  <c r="D20" i="830"/>
  <c r="F20" i="831"/>
  <c r="D20" i="831"/>
  <c r="F20" i="832"/>
  <c r="D20" i="832"/>
  <c r="F20" i="833"/>
  <c r="D20" i="833"/>
  <c r="F20" i="834"/>
  <c r="D20" i="834"/>
  <c r="F20" i="835"/>
  <c r="D20" i="835"/>
  <c r="F20" i="836"/>
  <c r="D20" i="836"/>
  <c r="F20" i="837"/>
  <c r="D20" i="837"/>
  <c r="F20" i="838"/>
  <c r="D20" i="838"/>
  <c r="F20" i="839"/>
  <c r="D20" i="839"/>
  <c r="F20" i="887"/>
  <c r="D20" i="887"/>
  <c r="F20" i="840"/>
  <c r="D20" i="840"/>
  <c r="F20" i="841"/>
  <c r="D20" i="841"/>
  <c r="F20" i="842"/>
  <c r="D20" i="842"/>
  <c r="F20" i="843"/>
  <c r="D20" i="843"/>
  <c r="F20" i="844"/>
  <c r="D20" i="844"/>
  <c r="F20" i="845"/>
  <c r="D20" i="845"/>
  <c r="F20" i="846"/>
  <c r="D20" i="846"/>
  <c r="F20" i="847"/>
  <c r="D20" i="847"/>
  <c r="F20" i="848"/>
  <c r="D20" i="848"/>
  <c r="F20" i="849"/>
  <c r="D20" i="849"/>
  <c r="F20" i="850"/>
  <c r="D20" i="850"/>
  <c r="F20" i="851"/>
  <c r="D20" i="851"/>
  <c r="F20" i="852"/>
  <c r="D20" i="852"/>
  <c r="F20" i="853"/>
  <c r="D20" i="853"/>
  <c r="F20" i="854"/>
  <c r="D20" i="854"/>
  <c r="F20" i="855"/>
  <c r="D20" i="855"/>
  <c r="F20" i="856"/>
  <c r="D20" i="856"/>
  <c r="F20" i="857"/>
  <c r="D20" i="857"/>
  <c r="F20" i="858"/>
  <c r="D20" i="858"/>
  <c r="F20" i="859"/>
  <c r="D20" i="859"/>
  <c r="F20" i="860"/>
  <c r="D20" i="860"/>
  <c r="F20" i="861"/>
  <c r="D20" i="861"/>
  <c r="F20" i="862"/>
  <c r="D20" i="862"/>
  <c r="F20" i="863"/>
  <c r="D20" i="863"/>
  <c r="F20" i="864"/>
  <c r="D20" i="864"/>
  <c r="F20" i="865"/>
  <c r="D20" i="865"/>
  <c r="F20" i="866"/>
  <c r="D20" i="866"/>
  <c r="F20" i="867"/>
  <c r="D20" i="867"/>
  <c r="F20" i="868"/>
  <c r="D20" i="868"/>
  <c r="F20" i="869"/>
  <c r="D20" i="869"/>
  <c r="F20" i="870"/>
  <c r="D20" i="870"/>
  <c r="F20" i="871"/>
  <c r="D20" i="871"/>
  <c r="F20" i="872"/>
  <c r="D20" i="872"/>
  <c r="F20" i="873"/>
  <c r="D20" i="873"/>
  <c r="F20" i="874"/>
  <c r="D20" i="874"/>
  <c r="F20" i="875"/>
  <c r="D20" i="875"/>
  <c r="F20" i="876"/>
  <c r="D20" i="876"/>
  <c r="F20" i="877"/>
  <c r="D20" i="877"/>
  <c r="F20" i="878"/>
  <c r="D20" i="878"/>
  <c r="F20" i="879"/>
  <c r="D20" i="879"/>
  <c r="F20" i="880"/>
  <c r="D20" i="880"/>
  <c r="F20" i="881"/>
  <c r="D20" i="881"/>
  <c r="F20" i="882"/>
  <c r="D20" i="882"/>
  <c r="F20" i="883"/>
  <c r="D20" i="883"/>
  <c r="F20" i="884"/>
  <c r="D20" i="884"/>
  <c r="F20" i="885"/>
  <c r="D20" i="885"/>
  <c r="AA61" i="257"/>
  <c r="Z61" i="257"/>
  <c r="Y61" i="257"/>
  <c r="E61" i="257"/>
  <c r="H94" i="889"/>
  <c r="F94" i="889"/>
  <c r="D94" i="889"/>
  <c r="K79" i="889"/>
  <c r="I79" i="889"/>
  <c r="E79" i="889"/>
  <c r="C79" i="889"/>
  <c r="A79" i="889"/>
  <c r="K78" i="889"/>
  <c r="I78" i="889"/>
  <c r="E78" i="889"/>
  <c r="C78" i="889"/>
  <c r="A78" i="889"/>
  <c r="K77" i="889"/>
  <c r="I77" i="889"/>
  <c r="E77" i="889"/>
  <c r="C77" i="889"/>
  <c r="A77" i="889"/>
  <c r="K76" i="889"/>
  <c r="I76" i="889"/>
  <c r="E76" i="889"/>
  <c r="C76" i="889"/>
  <c r="A76" i="889"/>
  <c r="K75" i="889"/>
  <c r="I75" i="889"/>
  <c r="E75" i="889"/>
  <c r="C75" i="889"/>
  <c r="A75" i="889"/>
  <c r="K74" i="889"/>
  <c r="I74" i="889"/>
  <c r="E74" i="889"/>
  <c r="C74" i="889"/>
  <c r="A74" i="889"/>
  <c r="K73" i="889"/>
  <c r="I73" i="889"/>
  <c r="E73" i="889"/>
  <c r="C73" i="889"/>
  <c r="A73" i="889"/>
  <c r="K72" i="889"/>
  <c r="I72" i="889"/>
  <c r="E72" i="889"/>
  <c r="C72" i="889"/>
  <c r="A72" i="889"/>
  <c r="K71" i="889"/>
  <c r="I71" i="889"/>
  <c r="E71" i="889"/>
  <c r="C71" i="889"/>
  <c r="A71" i="889"/>
  <c r="K70" i="889"/>
  <c r="I70" i="889"/>
  <c r="E70" i="889"/>
  <c r="C70" i="889"/>
  <c r="A70" i="889"/>
  <c r="K69" i="889"/>
  <c r="I69" i="889"/>
  <c r="E69" i="889"/>
  <c r="C69" i="889"/>
  <c r="A69" i="889"/>
  <c r="K68" i="889"/>
  <c r="I68" i="889"/>
  <c r="E68" i="889"/>
  <c r="C68" i="889"/>
  <c r="A68" i="889"/>
  <c r="AE65" i="889"/>
  <c r="AC65" i="889"/>
  <c r="AA65" i="889"/>
  <c r="Y65" i="889"/>
  <c r="V65" i="889"/>
  <c r="U65" i="889"/>
  <c r="T65" i="889"/>
  <c r="S65" i="889"/>
  <c r="Q65" i="889"/>
  <c r="P65" i="889"/>
  <c r="O65" i="889"/>
  <c r="N65" i="889"/>
  <c r="K65" i="889"/>
  <c r="I65" i="889"/>
  <c r="G65" i="889"/>
  <c r="E65" i="889"/>
  <c r="C65" i="889"/>
  <c r="A65" i="889"/>
  <c r="AE64" i="889"/>
  <c r="AC64" i="889"/>
  <c r="AA64" i="889"/>
  <c r="Y64" i="889"/>
  <c r="V64" i="889"/>
  <c r="U64" i="889"/>
  <c r="T64" i="889"/>
  <c r="S64" i="889"/>
  <c r="Q64" i="889"/>
  <c r="P64" i="889"/>
  <c r="O64" i="889"/>
  <c r="N64" i="889"/>
  <c r="K64" i="889"/>
  <c r="I64" i="889"/>
  <c r="G64" i="889"/>
  <c r="E64" i="889"/>
  <c r="C64" i="889"/>
  <c r="A64" i="889"/>
  <c r="AE63" i="889"/>
  <c r="AC63" i="889"/>
  <c r="AA63" i="889"/>
  <c r="Y63" i="889"/>
  <c r="V63" i="889"/>
  <c r="U63" i="889"/>
  <c r="T63" i="889"/>
  <c r="S63" i="889"/>
  <c r="Q63" i="889"/>
  <c r="P63" i="889"/>
  <c r="O63" i="889"/>
  <c r="N63" i="889"/>
  <c r="K63" i="889"/>
  <c r="I63" i="889"/>
  <c r="G63" i="889"/>
  <c r="E63" i="889"/>
  <c r="C63" i="889"/>
  <c r="A63" i="889"/>
  <c r="AE62" i="889"/>
  <c r="AC62" i="889"/>
  <c r="AA62" i="889"/>
  <c r="Y62" i="889"/>
  <c r="V62" i="889"/>
  <c r="U62" i="889"/>
  <c r="T62" i="889"/>
  <c r="S62" i="889"/>
  <c r="Q62" i="889"/>
  <c r="P62" i="889"/>
  <c r="O62" i="889"/>
  <c r="N62" i="889"/>
  <c r="K62" i="889"/>
  <c r="I62" i="889"/>
  <c r="G62" i="889"/>
  <c r="E62" i="889"/>
  <c r="C62" i="889"/>
  <c r="A62" i="889"/>
  <c r="AE61" i="889"/>
  <c r="AC61" i="889"/>
  <c r="AA61" i="889"/>
  <c r="Y61" i="889"/>
  <c r="V61" i="889"/>
  <c r="U61" i="889"/>
  <c r="T61" i="889"/>
  <c r="S61" i="889"/>
  <c r="Q61" i="889"/>
  <c r="P61" i="889"/>
  <c r="O61" i="889"/>
  <c r="N61" i="889"/>
  <c r="K61" i="889"/>
  <c r="I61" i="889"/>
  <c r="G61" i="889"/>
  <c r="E61" i="889"/>
  <c r="C61" i="889"/>
  <c r="A61" i="889"/>
  <c r="AE60" i="889"/>
  <c r="AC60" i="889"/>
  <c r="AA60" i="889"/>
  <c r="Y60" i="889"/>
  <c r="V60" i="889"/>
  <c r="U60" i="889"/>
  <c r="T60" i="889"/>
  <c r="S60" i="889"/>
  <c r="Q60" i="889"/>
  <c r="P60" i="889"/>
  <c r="O60" i="889"/>
  <c r="N60" i="889"/>
  <c r="K60" i="889"/>
  <c r="I60" i="889"/>
  <c r="G60" i="889"/>
  <c r="E60" i="889"/>
  <c r="C60" i="889"/>
  <c r="A60" i="889"/>
  <c r="AE59" i="889"/>
  <c r="AC59" i="889"/>
  <c r="AA59" i="889"/>
  <c r="Y59" i="889"/>
  <c r="V59" i="889"/>
  <c r="U59" i="889"/>
  <c r="T59" i="889"/>
  <c r="S59" i="889"/>
  <c r="Q59" i="889"/>
  <c r="P59" i="889"/>
  <c r="O59" i="889"/>
  <c r="N59" i="889"/>
  <c r="K59" i="889"/>
  <c r="I59" i="889"/>
  <c r="G59" i="889"/>
  <c r="E59" i="889"/>
  <c r="C59" i="889"/>
  <c r="A59" i="889"/>
  <c r="AE58" i="889"/>
  <c r="AC58" i="889"/>
  <c r="AA58" i="889"/>
  <c r="Y58" i="889"/>
  <c r="V58" i="889"/>
  <c r="U58" i="889"/>
  <c r="T58" i="889"/>
  <c r="S58" i="889"/>
  <c r="Q58" i="889"/>
  <c r="P58" i="889"/>
  <c r="O58" i="889"/>
  <c r="N58" i="889"/>
  <c r="K58" i="889"/>
  <c r="I58" i="889"/>
  <c r="G58" i="889"/>
  <c r="E58" i="889"/>
  <c r="C58" i="889"/>
  <c r="A58" i="889"/>
  <c r="AE57" i="889"/>
  <c r="AC57" i="889"/>
  <c r="AA57" i="889"/>
  <c r="Y57" i="889"/>
  <c r="V57" i="889"/>
  <c r="U57" i="889"/>
  <c r="T57" i="889"/>
  <c r="S57" i="889"/>
  <c r="Q57" i="889"/>
  <c r="P57" i="889"/>
  <c r="O57" i="889"/>
  <c r="N57" i="889"/>
  <c r="K57" i="889"/>
  <c r="O25" i="889"/>
  <c r="I57" i="889"/>
  <c r="G57" i="889"/>
  <c r="E57" i="889"/>
  <c r="C57" i="889"/>
  <c r="A57" i="889"/>
  <c r="AE56" i="889"/>
  <c r="AC56" i="889"/>
  <c r="AA56" i="889"/>
  <c r="Y56" i="889"/>
  <c r="V56" i="889"/>
  <c r="U56" i="889"/>
  <c r="T56" i="889"/>
  <c r="S56" i="889"/>
  <c r="Q56" i="889"/>
  <c r="P56" i="889"/>
  <c r="O56" i="889"/>
  <c r="N56" i="889"/>
  <c r="K56" i="889"/>
  <c r="I56" i="889"/>
  <c r="G56" i="889"/>
  <c r="E56" i="889"/>
  <c r="C56" i="889"/>
  <c r="A56" i="889"/>
  <c r="AE55" i="889"/>
  <c r="AC55" i="889"/>
  <c r="AA55" i="889"/>
  <c r="Y55" i="889"/>
  <c r="V55" i="889"/>
  <c r="U55" i="889"/>
  <c r="T55" i="889"/>
  <c r="S55" i="889"/>
  <c r="Q55" i="889"/>
  <c r="P55" i="889"/>
  <c r="O55" i="889"/>
  <c r="N55" i="889"/>
  <c r="K55" i="889"/>
  <c r="I55" i="889"/>
  <c r="G55" i="889"/>
  <c r="E55" i="889"/>
  <c r="K34" i="889"/>
  <c r="C55" i="889"/>
  <c r="A55" i="889"/>
  <c r="AE54" i="889"/>
  <c r="AC54" i="889"/>
  <c r="AA54" i="889"/>
  <c r="Y54" i="889"/>
  <c r="V54" i="889"/>
  <c r="U54" i="889"/>
  <c r="T54" i="889"/>
  <c r="S54" i="889"/>
  <c r="Q54" i="889"/>
  <c r="P54" i="889"/>
  <c r="O54" i="889"/>
  <c r="N54" i="889"/>
  <c r="K54" i="889"/>
  <c r="I54" i="889"/>
  <c r="G54" i="889"/>
  <c r="E54" i="889"/>
  <c r="C54" i="889"/>
  <c r="A54" i="889"/>
  <c r="T27" i="889"/>
  <c r="AF61" i="258"/>
  <c r="S27" i="889"/>
  <c r="AE61" i="258"/>
  <c r="A19" i="889"/>
  <c r="Y16" i="889"/>
  <c r="X16" i="889"/>
  <c r="AG61" i="258"/>
  <c r="W16" i="889"/>
  <c r="V16" i="889"/>
  <c r="AA61" i="258"/>
  <c r="U16" i="889"/>
  <c r="S16" i="889"/>
  <c r="S20" i="889"/>
  <c r="X61" i="258"/>
  <c r="R16" i="889"/>
  <c r="Q16" i="889"/>
  <c r="P16" i="889"/>
  <c r="O16" i="889"/>
  <c r="N16" i="889"/>
  <c r="M16" i="889"/>
  <c r="L16" i="889"/>
  <c r="K16" i="889"/>
  <c r="J16" i="889"/>
  <c r="I16" i="889"/>
  <c r="H16" i="889"/>
  <c r="F16" i="889"/>
  <c r="E16" i="889"/>
  <c r="C16" i="889"/>
  <c r="J24" i="889"/>
  <c r="B61" i="257"/>
  <c r="B61" i="258"/>
  <c r="K61" i="257"/>
  <c r="H61" i="258"/>
  <c r="T20" i="889"/>
  <c r="AI61" i="258"/>
  <c r="V61" i="257"/>
  <c r="R61" i="258"/>
  <c r="D29" i="889"/>
  <c r="D61" i="258"/>
  <c r="V66" i="889"/>
  <c r="B94" i="889"/>
  <c r="N66" i="889"/>
  <c r="F26" i="889"/>
  <c r="F61" i="257"/>
  <c r="Q25" i="889"/>
  <c r="D26" i="889"/>
  <c r="C61" i="257"/>
  <c r="AE66" i="889"/>
  <c r="S30" i="889"/>
  <c r="AB61" i="258"/>
  <c r="K37" i="889"/>
  <c r="M34" i="889"/>
  <c r="U66" i="889"/>
  <c r="F24" i="889"/>
  <c r="Q66" i="889"/>
  <c r="Y66" i="889"/>
  <c r="I29" i="889"/>
  <c r="J34" i="889"/>
  <c r="G68" i="889"/>
  <c r="AK61" i="257"/>
  <c r="I31" i="889"/>
  <c r="S61" i="257"/>
  <c r="N30" i="889"/>
  <c r="S66" i="889"/>
  <c r="F22" i="889"/>
  <c r="T66" i="889"/>
  <c r="O66" i="889"/>
  <c r="P66" i="889"/>
  <c r="I80" i="889"/>
  <c r="J37" i="889"/>
  <c r="S61" i="258"/>
  <c r="AA66" i="889"/>
  <c r="U22" i="889"/>
  <c r="S24" i="889"/>
  <c r="AI61" i="257"/>
  <c r="K24" i="889"/>
  <c r="P22" i="889"/>
  <c r="AC66" i="889"/>
  <c r="K80" i="889"/>
  <c r="S22" i="889"/>
  <c r="I26" i="889"/>
  <c r="I24" i="889"/>
  <c r="I21" i="889"/>
  <c r="I34" i="889"/>
  <c r="N28" i="889"/>
  <c r="N25" i="889"/>
  <c r="Q22" i="889"/>
  <c r="N22" i="889"/>
  <c r="O22" i="889"/>
  <c r="N34" i="889"/>
  <c r="L34" i="889"/>
  <c r="P25" i="889"/>
  <c r="J29" i="889"/>
  <c r="I37" i="889"/>
  <c r="D32" i="889"/>
  <c r="D61" i="257"/>
  <c r="F32" i="889"/>
  <c r="G61" i="257"/>
  <c r="K29" i="889"/>
  <c r="Y48" i="258"/>
  <c r="C48" i="258"/>
  <c r="B48" i="258"/>
  <c r="AA48" i="257"/>
  <c r="Z48" i="257"/>
  <c r="Y48" i="257"/>
  <c r="E48" i="257"/>
  <c r="B48" i="257"/>
  <c r="H94" i="887"/>
  <c r="F94" i="887"/>
  <c r="D94" i="887"/>
  <c r="B94" i="887"/>
  <c r="K79" i="887"/>
  <c r="I79" i="887"/>
  <c r="E79" i="887"/>
  <c r="C79" i="887"/>
  <c r="A79" i="887"/>
  <c r="K78" i="887"/>
  <c r="I78" i="887"/>
  <c r="E78" i="887"/>
  <c r="C78" i="887"/>
  <c r="A78" i="887"/>
  <c r="K77" i="887"/>
  <c r="I77" i="887"/>
  <c r="E77" i="887"/>
  <c r="C77" i="887"/>
  <c r="A77" i="887"/>
  <c r="K76" i="887"/>
  <c r="I76" i="887"/>
  <c r="E76" i="887"/>
  <c r="C76" i="887"/>
  <c r="A76" i="887"/>
  <c r="K75" i="887"/>
  <c r="I75" i="887"/>
  <c r="E75" i="887"/>
  <c r="C75" i="887"/>
  <c r="A75" i="887"/>
  <c r="K74" i="887"/>
  <c r="I74" i="887"/>
  <c r="E74" i="887"/>
  <c r="C74" i="887"/>
  <c r="A74" i="887"/>
  <c r="K73" i="887"/>
  <c r="I73" i="887"/>
  <c r="E73" i="887"/>
  <c r="C73" i="887"/>
  <c r="A73" i="887"/>
  <c r="K72" i="887"/>
  <c r="I72" i="887"/>
  <c r="E72" i="887"/>
  <c r="C72" i="887"/>
  <c r="A72" i="887"/>
  <c r="K71" i="887"/>
  <c r="I71" i="887"/>
  <c r="E71" i="887"/>
  <c r="C71" i="887"/>
  <c r="A71" i="887"/>
  <c r="K70" i="887"/>
  <c r="I70" i="887"/>
  <c r="E70" i="887"/>
  <c r="C70" i="887"/>
  <c r="A70" i="887"/>
  <c r="K69" i="887"/>
  <c r="I69" i="887"/>
  <c r="E69" i="887"/>
  <c r="C69" i="887"/>
  <c r="A69" i="887"/>
  <c r="K68" i="887"/>
  <c r="I68" i="887"/>
  <c r="E68" i="887"/>
  <c r="C68" i="887"/>
  <c r="A68" i="887"/>
  <c r="AE65" i="887"/>
  <c r="AC65" i="887"/>
  <c r="AA65" i="887"/>
  <c r="Y65" i="887"/>
  <c r="V65" i="887"/>
  <c r="U65" i="887"/>
  <c r="T65" i="887"/>
  <c r="S65" i="887"/>
  <c r="Q65" i="887"/>
  <c r="P65" i="887"/>
  <c r="O65" i="887"/>
  <c r="N65" i="887"/>
  <c r="K65" i="887"/>
  <c r="I65" i="887"/>
  <c r="G65" i="887"/>
  <c r="E65" i="887"/>
  <c r="C65" i="887"/>
  <c r="A65" i="887"/>
  <c r="AE64" i="887"/>
  <c r="AC64" i="887"/>
  <c r="AA64" i="887"/>
  <c r="Y64" i="887"/>
  <c r="V64" i="887"/>
  <c r="U64" i="887"/>
  <c r="T64" i="887"/>
  <c r="S64" i="887"/>
  <c r="Q64" i="887"/>
  <c r="P64" i="887"/>
  <c r="O64" i="887"/>
  <c r="N64" i="887"/>
  <c r="K64" i="887"/>
  <c r="I64" i="887"/>
  <c r="G64" i="887"/>
  <c r="E64" i="887"/>
  <c r="C64" i="887"/>
  <c r="A64" i="887"/>
  <c r="AE63" i="887"/>
  <c r="AC63" i="887"/>
  <c r="AA63" i="887"/>
  <c r="Y63" i="887"/>
  <c r="V63" i="887"/>
  <c r="U63" i="887"/>
  <c r="T63" i="887"/>
  <c r="S63" i="887"/>
  <c r="Q63" i="887"/>
  <c r="P63" i="887"/>
  <c r="O63" i="887"/>
  <c r="N63" i="887"/>
  <c r="K63" i="887"/>
  <c r="I63" i="887"/>
  <c r="G63" i="887"/>
  <c r="E63" i="887"/>
  <c r="C63" i="887"/>
  <c r="A63" i="887"/>
  <c r="AE62" i="887"/>
  <c r="AC62" i="887"/>
  <c r="AA62" i="887"/>
  <c r="Y62" i="887"/>
  <c r="V62" i="887"/>
  <c r="U62" i="887"/>
  <c r="T62" i="887"/>
  <c r="S62" i="887"/>
  <c r="Q62" i="887"/>
  <c r="P62" i="887"/>
  <c r="O62" i="887"/>
  <c r="N62" i="887"/>
  <c r="K62" i="887"/>
  <c r="I62" i="887"/>
  <c r="G62" i="887"/>
  <c r="E62" i="887"/>
  <c r="C62" i="887"/>
  <c r="A62" i="887"/>
  <c r="AE61" i="887"/>
  <c r="AC61" i="887"/>
  <c r="AA61" i="887"/>
  <c r="Y61" i="887"/>
  <c r="V61" i="887"/>
  <c r="U61" i="887"/>
  <c r="T61" i="887"/>
  <c r="S61" i="887"/>
  <c r="Q61" i="887"/>
  <c r="P61" i="887"/>
  <c r="O61" i="887"/>
  <c r="N61" i="887"/>
  <c r="K61" i="887"/>
  <c r="I61" i="887"/>
  <c r="G61" i="887"/>
  <c r="E61" i="887"/>
  <c r="C61" i="887"/>
  <c r="A61" i="887"/>
  <c r="AE60" i="887"/>
  <c r="AC60" i="887"/>
  <c r="AA60" i="887"/>
  <c r="Y60" i="887"/>
  <c r="V60" i="887"/>
  <c r="U60" i="887"/>
  <c r="T60" i="887"/>
  <c r="S60" i="887"/>
  <c r="Q60" i="887"/>
  <c r="P60" i="887"/>
  <c r="O60" i="887"/>
  <c r="N60" i="887"/>
  <c r="K60" i="887"/>
  <c r="I60" i="887"/>
  <c r="G60" i="887"/>
  <c r="E60" i="887"/>
  <c r="C60" i="887"/>
  <c r="A60" i="887"/>
  <c r="AE59" i="887"/>
  <c r="AC59" i="887"/>
  <c r="AA59" i="887"/>
  <c r="Y59" i="887"/>
  <c r="V59" i="887"/>
  <c r="U59" i="887"/>
  <c r="T59" i="887"/>
  <c r="S59" i="887"/>
  <c r="Q59" i="887"/>
  <c r="P59" i="887"/>
  <c r="O59" i="887"/>
  <c r="N59" i="887"/>
  <c r="K59" i="887"/>
  <c r="I59" i="887"/>
  <c r="G59" i="887"/>
  <c r="E59" i="887"/>
  <c r="C59" i="887"/>
  <c r="A59" i="887"/>
  <c r="K24" i="887"/>
  <c r="L48" i="257"/>
  <c r="AE58" i="887"/>
  <c r="AC58" i="887"/>
  <c r="AA58" i="887"/>
  <c r="Y58" i="887"/>
  <c r="V58" i="887"/>
  <c r="U58" i="887"/>
  <c r="T58" i="887"/>
  <c r="S58" i="887"/>
  <c r="Q58" i="887"/>
  <c r="P58" i="887"/>
  <c r="O58" i="887"/>
  <c r="N58" i="887"/>
  <c r="K58" i="887"/>
  <c r="I58" i="887"/>
  <c r="G58" i="887"/>
  <c r="E58" i="887"/>
  <c r="C58" i="887"/>
  <c r="A58" i="887"/>
  <c r="AE57" i="887"/>
  <c r="AC57" i="887"/>
  <c r="AA57" i="887"/>
  <c r="Y57" i="887"/>
  <c r="V57" i="887"/>
  <c r="U57" i="887"/>
  <c r="T57" i="887"/>
  <c r="S57" i="887"/>
  <c r="Q57" i="887"/>
  <c r="P57" i="887"/>
  <c r="O57" i="887"/>
  <c r="N57" i="887"/>
  <c r="K57" i="887"/>
  <c r="I57" i="887"/>
  <c r="G57" i="887"/>
  <c r="E57" i="887"/>
  <c r="C57" i="887"/>
  <c r="A57" i="887"/>
  <c r="AE56" i="887"/>
  <c r="AC56" i="887"/>
  <c r="AA56" i="887"/>
  <c r="Y56" i="887"/>
  <c r="V56" i="887"/>
  <c r="U56" i="887"/>
  <c r="T56" i="887"/>
  <c r="S56" i="887"/>
  <c r="Q56" i="887"/>
  <c r="P56" i="887"/>
  <c r="O56" i="887"/>
  <c r="N56" i="887"/>
  <c r="K56" i="887"/>
  <c r="I56" i="887"/>
  <c r="G56" i="887"/>
  <c r="E56" i="887"/>
  <c r="C56" i="887"/>
  <c r="A56" i="887"/>
  <c r="AE55" i="887"/>
  <c r="AC55" i="887"/>
  <c r="AA55" i="887"/>
  <c r="Y55" i="887"/>
  <c r="V55" i="887"/>
  <c r="U55" i="887"/>
  <c r="T55" i="887"/>
  <c r="S55" i="887"/>
  <c r="Q55" i="887"/>
  <c r="P55" i="887"/>
  <c r="O55" i="887"/>
  <c r="N55" i="887"/>
  <c r="K55" i="887"/>
  <c r="I55" i="887"/>
  <c r="G55" i="887"/>
  <c r="E55" i="887"/>
  <c r="C55" i="887"/>
  <c r="A55" i="887"/>
  <c r="AE54" i="887"/>
  <c r="AC54" i="887"/>
  <c r="AA54" i="887"/>
  <c r="Y54" i="887"/>
  <c r="V54" i="887"/>
  <c r="U54" i="887"/>
  <c r="T54" i="887"/>
  <c r="S54" i="887"/>
  <c r="Q54" i="887"/>
  <c r="P54" i="887"/>
  <c r="O54" i="887"/>
  <c r="N54" i="887"/>
  <c r="K54" i="887"/>
  <c r="I54" i="887"/>
  <c r="G54" i="887"/>
  <c r="E54" i="887"/>
  <c r="C54" i="887"/>
  <c r="A54" i="887"/>
  <c r="T27" i="887"/>
  <c r="AF48" i="258"/>
  <c r="S27" i="887"/>
  <c r="AE48" i="258"/>
  <c r="A19" i="887"/>
  <c r="T20" i="887"/>
  <c r="Y16" i="887"/>
  <c r="X16" i="887"/>
  <c r="AG48" i="258"/>
  <c r="W16" i="887"/>
  <c r="V16" i="887"/>
  <c r="AA48" i="258"/>
  <c r="U16" i="887"/>
  <c r="S16" i="887"/>
  <c r="S20" i="887"/>
  <c r="X48" i="258"/>
  <c r="R16" i="887"/>
  <c r="Q16" i="887"/>
  <c r="P16" i="887"/>
  <c r="O16" i="887"/>
  <c r="N16" i="887"/>
  <c r="M16" i="887"/>
  <c r="L16" i="887"/>
  <c r="K16" i="887"/>
  <c r="J16" i="887"/>
  <c r="I16" i="887"/>
  <c r="H16" i="887"/>
  <c r="F16" i="887"/>
  <c r="E16" i="887"/>
  <c r="C16" i="887"/>
  <c r="Y60" i="258"/>
  <c r="Y59" i="258"/>
  <c r="Y58" i="258"/>
  <c r="C58" i="258"/>
  <c r="B58" i="258"/>
  <c r="Y57" i="258"/>
  <c r="C57" i="258"/>
  <c r="B57" i="258"/>
  <c r="Y56" i="258"/>
  <c r="Y55" i="258"/>
  <c r="Y54" i="258"/>
  <c r="C54" i="258"/>
  <c r="B54" i="258"/>
  <c r="Y53" i="258"/>
  <c r="C53" i="258"/>
  <c r="B53" i="258"/>
  <c r="Y52" i="258"/>
  <c r="C52" i="258"/>
  <c r="B52" i="258"/>
  <c r="Y51" i="258"/>
  <c r="C51" i="258"/>
  <c r="B51" i="258"/>
  <c r="Y50" i="258"/>
  <c r="Y49" i="258"/>
  <c r="Y47" i="258"/>
  <c r="C47" i="258"/>
  <c r="B47" i="258"/>
  <c r="Y46" i="258"/>
  <c r="Y45" i="258"/>
  <c r="C45" i="258"/>
  <c r="B45" i="258"/>
  <c r="Y44" i="258"/>
  <c r="Y43" i="258"/>
  <c r="Y42" i="258"/>
  <c r="C42" i="258"/>
  <c r="B42" i="258"/>
  <c r="Y41" i="258"/>
  <c r="C41" i="258"/>
  <c r="B41" i="258"/>
  <c r="Y40" i="258"/>
  <c r="Y39" i="258"/>
  <c r="C39" i="258"/>
  <c r="B39" i="258"/>
  <c r="Y38" i="258"/>
  <c r="Y37" i="258"/>
  <c r="C37" i="258"/>
  <c r="B37" i="258"/>
  <c r="Y36" i="258"/>
  <c r="Y35" i="258"/>
  <c r="Y34" i="258"/>
  <c r="Y33" i="258"/>
  <c r="C33" i="258"/>
  <c r="B33" i="258"/>
  <c r="Y32" i="258"/>
  <c r="Y31" i="258"/>
  <c r="Y30" i="258"/>
  <c r="Y29" i="258"/>
  <c r="C29" i="258"/>
  <c r="B29" i="258"/>
  <c r="Y28" i="258"/>
  <c r="C28" i="258"/>
  <c r="B28" i="258"/>
  <c r="Y27" i="258"/>
  <c r="C27" i="258"/>
  <c r="B27" i="258"/>
  <c r="Y26" i="258"/>
  <c r="C26" i="258"/>
  <c r="B26" i="258"/>
  <c r="Y25" i="258"/>
  <c r="Y24" i="258"/>
  <c r="Y23" i="258"/>
  <c r="Y22" i="258"/>
  <c r="C22" i="258"/>
  <c r="B22" i="258"/>
  <c r="Y21" i="258"/>
  <c r="C21" i="258"/>
  <c r="B21" i="258"/>
  <c r="Y20" i="258"/>
  <c r="Y19" i="258"/>
  <c r="Y18" i="258"/>
  <c r="Y17" i="258"/>
  <c r="Y16" i="258"/>
  <c r="Y15" i="258"/>
  <c r="C15" i="258"/>
  <c r="B15" i="258"/>
  <c r="Y14" i="258"/>
  <c r="Y13" i="258"/>
  <c r="Y12" i="258"/>
  <c r="C12" i="258"/>
  <c r="B12" i="258"/>
  <c r="Y11" i="258"/>
  <c r="C11" i="258"/>
  <c r="B11" i="258"/>
  <c r="Y10" i="258"/>
  <c r="C10" i="258"/>
  <c r="B10" i="258"/>
  <c r="Y9" i="258"/>
  <c r="Y8" i="258"/>
  <c r="C8" i="258"/>
  <c r="B8" i="258"/>
  <c r="Y7" i="258"/>
  <c r="C7" i="258"/>
  <c r="B7" i="258"/>
  <c r="Y6" i="258"/>
  <c r="C6" i="258"/>
  <c r="B6" i="258"/>
  <c r="Y5" i="258"/>
  <c r="Y4" i="258"/>
  <c r="C4" i="258"/>
  <c r="B4" i="258"/>
  <c r="Y3" i="258"/>
  <c r="Y2" i="258"/>
  <c r="C2" i="258"/>
  <c r="B2" i="258"/>
  <c r="E58" i="257"/>
  <c r="B58" i="257"/>
  <c r="E57" i="257"/>
  <c r="B57" i="257"/>
  <c r="E54" i="257"/>
  <c r="B54" i="257"/>
  <c r="E53" i="257"/>
  <c r="B53" i="257"/>
  <c r="E52" i="257"/>
  <c r="B52" i="257"/>
  <c r="E51" i="257"/>
  <c r="B51" i="257"/>
  <c r="E47" i="257"/>
  <c r="B47" i="257"/>
  <c r="E45" i="257"/>
  <c r="B45" i="257"/>
  <c r="E42" i="257"/>
  <c r="B42" i="257"/>
  <c r="E41" i="257"/>
  <c r="B41" i="257"/>
  <c r="E39" i="257"/>
  <c r="B39" i="257"/>
  <c r="E37" i="257"/>
  <c r="B37" i="257"/>
  <c r="E33" i="257"/>
  <c r="B33" i="257"/>
  <c r="E29" i="257"/>
  <c r="B29" i="257"/>
  <c r="E28" i="257"/>
  <c r="B28" i="257"/>
  <c r="E27" i="257"/>
  <c r="B27" i="257"/>
  <c r="E26" i="257"/>
  <c r="B26" i="257"/>
  <c r="E22" i="257"/>
  <c r="B22" i="257"/>
  <c r="E21" i="257"/>
  <c r="B21" i="257"/>
  <c r="E15" i="257"/>
  <c r="B15" i="257"/>
  <c r="E12" i="257"/>
  <c r="B12" i="257"/>
  <c r="E11" i="257"/>
  <c r="B11" i="257"/>
  <c r="E10" i="257"/>
  <c r="B10" i="257"/>
  <c r="E8" i="257"/>
  <c r="B8" i="257"/>
  <c r="E7" i="257"/>
  <c r="B7" i="257"/>
  <c r="E6" i="257"/>
  <c r="B6" i="257"/>
  <c r="E4" i="257"/>
  <c r="B4" i="257"/>
  <c r="E2" i="257"/>
  <c r="B2" i="257"/>
  <c r="H94" i="885"/>
  <c r="F94" i="885"/>
  <c r="D94" i="885"/>
  <c r="B94" i="885"/>
  <c r="K79" i="885"/>
  <c r="I79" i="885"/>
  <c r="E79" i="885"/>
  <c r="C79" i="885"/>
  <c r="A79" i="885"/>
  <c r="K78" i="885"/>
  <c r="I78" i="885"/>
  <c r="E78" i="885"/>
  <c r="C78" i="885"/>
  <c r="A78" i="885"/>
  <c r="K77" i="885"/>
  <c r="I77" i="885"/>
  <c r="E77" i="885"/>
  <c r="C77" i="885"/>
  <c r="A77" i="885"/>
  <c r="K76" i="885"/>
  <c r="I76" i="885"/>
  <c r="E76" i="885"/>
  <c r="C76" i="885"/>
  <c r="A76" i="885"/>
  <c r="K75" i="885"/>
  <c r="I75" i="885"/>
  <c r="E75" i="885"/>
  <c r="C75" i="885"/>
  <c r="A75" i="885"/>
  <c r="K74" i="885"/>
  <c r="I74" i="885"/>
  <c r="E74" i="885"/>
  <c r="C74" i="885"/>
  <c r="A74" i="885"/>
  <c r="K73" i="885"/>
  <c r="I73" i="885"/>
  <c r="E73" i="885"/>
  <c r="C73" i="885"/>
  <c r="A73" i="885"/>
  <c r="K72" i="885"/>
  <c r="I72" i="885"/>
  <c r="E72" i="885"/>
  <c r="C72" i="885"/>
  <c r="A72" i="885"/>
  <c r="K71" i="885"/>
  <c r="I71" i="885"/>
  <c r="E71" i="885"/>
  <c r="C71" i="885"/>
  <c r="A71" i="885"/>
  <c r="K70" i="885"/>
  <c r="I70" i="885"/>
  <c r="E70" i="885"/>
  <c r="C70" i="885"/>
  <c r="A70" i="885"/>
  <c r="K69" i="885"/>
  <c r="I69" i="885"/>
  <c r="E69" i="885"/>
  <c r="C69" i="885"/>
  <c r="A69" i="885"/>
  <c r="K68" i="885"/>
  <c r="I68" i="885"/>
  <c r="E68" i="885"/>
  <c r="C68" i="885"/>
  <c r="A68" i="885"/>
  <c r="AE65" i="885"/>
  <c r="AC65" i="885"/>
  <c r="AA65" i="885"/>
  <c r="Y65" i="885"/>
  <c r="V65" i="885"/>
  <c r="U65" i="885"/>
  <c r="T65" i="885"/>
  <c r="S65" i="885"/>
  <c r="Q65" i="885"/>
  <c r="P65" i="885"/>
  <c r="O65" i="885"/>
  <c r="N65" i="885"/>
  <c r="K65" i="885"/>
  <c r="N25" i="885"/>
  <c r="I65" i="885"/>
  <c r="G65" i="885"/>
  <c r="E65" i="885"/>
  <c r="C65" i="885"/>
  <c r="A65" i="885"/>
  <c r="AE64" i="885"/>
  <c r="AC64" i="885"/>
  <c r="AA64" i="885"/>
  <c r="Y64" i="885"/>
  <c r="V64" i="885"/>
  <c r="U64" i="885"/>
  <c r="T64" i="885"/>
  <c r="S64" i="885"/>
  <c r="Q64" i="885"/>
  <c r="P64" i="885"/>
  <c r="O64" i="885"/>
  <c r="N64" i="885"/>
  <c r="K64" i="885"/>
  <c r="I64" i="885"/>
  <c r="G64" i="885"/>
  <c r="E64" i="885"/>
  <c r="C64" i="885"/>
  <c r="A64" i="885"/>
  <c r="AE63" i="885"/>
  <c r="AC63" i="885"/>
  <c r="AA63" i="885"/>
  <c r="Y63" i="885"/>
  <c r="V63" i="885"/>
  <c r="U63" i="885"/>
  <c r="T63" i="885"/>
  <c r="S63" i="885"/>
  <c r="Q63" i="885"/>
  <c r="P63" i="885"/>
  <c r="O63" i="885"/>
  <c r="N63" i="885"/>
  <c r="K63" i="885"/>
  <c r="I63" i="885"/>
  <c r="G63" i="885"/>
  <c r="E63" i="885"/>
  <c r="C63" i="885"/>
  <c r="A63" i="885"/>
  <c r="AE62" i="885"/>
  <c r="AC62" i="885"/>
  <c r="AA62" i="885"/>
  <c r="Y62" i="885"/>
  <c r="V62" i="885"/>
  <c r="U62" i="885"/>
  <c r="T62" i="885"/>
  <c r="S62" i="885"/>
  <c r="Q62" i="885"/>
  <c r="P62" i="885"/>
  <c r="O62" i="885"/>
  <c r="N62" i="885"/>
  <c r="K62" i="885"/>
  <c r="I62" i="885"/>
  <c r="G62" i="885"/>
  <c r="E62" i="885"/>
  <c r="C62" i="885"/>
  <c r="A62" i="885"/>
  <c r="AE61" i="885"/>
  <c r="AC61" i="885"/>
  <c r="AA61" i="885"/>
  <c r="Y61" i="885"/>
  <c r="V61" i="885"/>
  <c r="U61" i="885"/>
  <c r="T61" i="885"/>
  <c r="S61" i="885"/>
  <c r="Q61" i="885"/>
  <c r="P61" i="885"/>
  <c r="O61" i="885"/>
  <c r="N61" i="885"/>
  <c r="K61" i="885"/>
  <c r="I61" i="885"/>
  <c r="G61" i="885"/>
  <c r="E61" i="885"/>
  <c r="C61" i="885"/>
  <c r="A61" i="885"/>
  <c r="AE60" i="885"/>
  <c r="AC60" i="885"/>
  <c r="AA60" i="885"/>
  <c r="Y60" i="885"/>
  <c r="V60" i="885"/>
  <c r="U60" i="885"/>
  <c r="T60" i="885"/>
  <c r="S60" i="885"/>
  <c r="Q60" i="885"/>
  <c r="P60" i="885"/>
  <c r="O60" i="885"/>
  <c r="N60" i="885"/>
  <c r="K60" i="885"/>
  <c r="I60" i="885"/>
  <c r="G60" i="885"/>
  <c r="E60" i="885"/>
  <c r="C60" i="885"/>
  <c r="A60" i="885"/>
  <c r="AE59" i="885"/>
  <c r="AC59" i="885"/>
  <c r="AA59" i="885"/>
  <c r="Y59" i="885"/>
  <c r="V59" i="885"/>
  <c r="U59" i="885"/>
  <c r="T59" i="885"/>
  <c r="S59" i="885"/>
  <c r="Q59" i="885"/>
  <c r="P59" i="885"/>
  <c r="O59" i="885"/>
  <c r="N59" i="885"/>
  <c r="K59" i="885"/>
  <c r="I59" i="885"/>
  <c r="G59" i="885"/>
  <c r="E59" i="885"/>
  <c r="C59" i="885"/>
  <c r="A59" i="885"/>
  <c r="AE58" i="885"/>
  <c r="AC58" i="885"/>
  <c r="AA58" i="885"/>
  <c r="Y58" i="885"/>
  <c r="V58" i="885"/>
  <c r="U58" i="885"/>
  <c r="T58" i="885"/>
  <c r="S58" i="885"/>
  <c r="Q58" i="885"/>
  <c r="P58" i="885"/>
  <c r="O58" i="885"/>
  <c r="N58" i="885"/>
  <c r="K58" i="885"/>
  <c r="I58" i="885"/>
  <c r="G58" i="885"/>
  <c r="E58" i="885"/>
  <c r="C58" i="885"/>
  <c r="A58" i="885"/>
  <c r="AE57" i="885"/>
  <c r="AC57" i="885"/>
  <c r="AA57" i="885"/>
  <c r="Y57" i="885"/>
  <c r="V57" i="885"/>
  <c r="U57" i="885"/>
  <c r="T57" i="885"/>
  <c r="S57" i="885"/>
  <c r="Q57" i="885"/>
  <c r="P57" i="885"/>
  <c r="O57" i="885"/>
  <c r="N57" i="885"/>
  <c r="K57" i="885"/>
  <c r="I57" i="885"/>
  <c r="G57" i="885"/>
  <c r="E57" i="885"/>
  <c r="C57" i="885"/>
  <c r="A57" i="885"/>
  <c r="AE56" i="885"/>
  <c r="AC56" i="885"/>
  <c r="AA56" i="885"/>
  <c r="Y56" i="885"/>
  <c r="V56" i="885"/>
  <c r="U56" i="885"/>
  <c r="T56" i="885"/>
  <c r="S56" i="885"/>
  <c r="Q56" i="885"/>
  <c r="P56" i="885"/>
  <c r="O56" i="885"/>
  <c r="N56" i="885"/>
  <c r="K56" i="885"/>
  <c r="I56" i="885"/>
  <c r="G56" i="885"/>
  <c r="E56" i="885"/>
  <c r="C56" i="885"/>
  <c r="A56" i="885"/>
  <c r="AE55" i="885"/>
  <c r="AC55" i="885"/>
  <c r="AA55" i="885"/>
  <c r="Y55" i="885"/>
  <c r="V55" i="885"/>
  <c r="U55" i="885"/>
  <c r="T55" i="885"/>
  <c r="S55" i="885"/>
  <c r="Q55" i="885"/>
  <c r="Q66" i="885"/>
  <c r="P55" i="885"/>
  <c r="O55" i="885"/>
  <c r="N55" i="885"/>
  <c r="K55" i="885"/>
  <c r="I55" i="885"/>
  <c r="G55" i="885"/>
  <c r="E55" i="885"/>
  <c r="C55" i="885"/>
  <c r="A55" i="885"/>
  <c r="AE54" i="885"/>
  <c r="AC54" i="885"/>
  <c r="AA54" i="885"/>
  <c r="Y54" i="885"/>
  <c r="V54" i="885"/>
  <c r="U54" i="885"/>
  <c r="T54" i="885"/>
  <c r="S54" i="885"/>
  <c r="Q54" i="885"/>
  <c r="P54" i="885"/>
  <c r="O54" i="885"/>
  <c r="N54" i="885"/>
  <c r="K54" i="885"/>
  <c r="I54" i="885"/>
  <c r="G54" i="885"/>
  <c r="E54" i="885"/>
  <c r="C54" i="885"/>
  <c r="A54" i="885"/>
  <c r="T27" i="885"/>
  <c r="AF2" i="258"/>
  <c r="S27" i="885"/>
  <c r="AE2" i="258"/>
  <c r="A19" i="885"/>
  <c r="T20" i="885"/>
  <c r="Y16" i="885"/>
  <c r="X16" i="885"/>
  <c r="AG2" i="258"/>
  <c r="W16" i="885"/>
  <c r="V16" i="885"/>
  <c r="U16" i="885"/>
  <c r="S16" i="885"/>
  <c r="S20" i="885"/>
  <c r="X2" i="258"/>
  <c r="R16" i="885"/>
  <c r="Q16" i="885"/>
  <c r="P16" i="885"/>
  <c r="O16" i="885"/>
  <c r="N16" i="885"/>
  <c r="M16" i="885"/>
  <c r="L16" i="885"/>
  <c r="K16" i="885"/>
  <c r="J16" i="885"/>
  <c r="I16" i="885"/>
  <c r="F26" i="885"/>
  <c r="F2" i="257"/>
  <c r="H16" i="885"/>
  <c r="F16" i="885"/>
  <c r="E16" i="885"/>
  <c r="C16" i="885"/>
  <c r="H94" i="884"/>
  <c r="F94" i="884"/>
  <c r="D94" i="884"/>
  <c r="B94" i="884"/>
  <c r="K79" i="884"/>
  <c r="I79" i="884"/>
  <c r="E79" i="884"/>
  <c r="C79" i="884"/>
  <c r="A79" i="884"/>
  <c r="K78" i="884"/>
  <c r="I78" i="884"/>
  <c r="E78" i="884"/>
  <c r="C78" i="884"/>
  <c r="A78" i="884"/>
  <c r="K77" i="884"/>
  <c r="I77" i="884"/>
  <c r="E77" i="884"/>
  <c r="C77" i="884"/>
  <c r="A77" i="884"/>
  <c r="K76" i="884"/>
  <c r="I76" i="884"/>
  <c r="E76" i="884"/>
  <c r="C76" i="884"/>
  <c r="A76" i="884"/>
  <c r="K75" i="884"/>
  <c r="I75" i="884"/>
  <c r="E75" i="884"/>
  <c r="C75" i="884"/>
  <c r="A75" i="884"/>
  <c r="K74" i="884"/>
  <c r="I74" i="884"/>
  <c r="E74" i="884"/>
  <c r="C74" i="884"/>
  <c r="A74" i="884"/>
  <c r="K73" i="884"/>
  <c r="I73" i="884"/>
  <c r="E73" i="884"/>
  <c r="C73" i="884"/>
  <c r="A73" i="884"/>
  <c r="K72" i="884"/>
  <c r="I72" i="884"/>
  <c r="E72" i="884"/>
  <c r="C72" i="884"/>
  <c r="A72" i="884"/>
  <c r="K71" i="884"/>
  <c r="I71" i="884"/>
  <c r="E71" i="884"/>
  <c r="C71" i="884"/>
  <c r="A71" i="884"/>
  <c r="K70" i="884"/>
  <c r="I70" i="884"/>
  <c r="E70" i="884"/>
  <c r="C70" i="884"/>
  <c r="A70" i="884"/>
  <c r="K69" i="884"/>
  <c r="I69" i="884"/>
  <c r="E69" i="884"/>
  <c r="C69" i="884"/>
  <c r="A69" i="884"/>
  <c r="K68" i="884"/>
  <c r="I68" i="884"/>
  <c r="E68" i="884"/>
  <c r="C68" i="884"/>
  <c r="A68" i="884"/>
  <c r="AE65" i="884"/>
  <c r="AC65" i="884"/>
  <c r="AA65" i="884"/>
  <c r="Y65" i="884"/>
  <c r="V65" i="884"/>
  <c r="U65" i="884"/>
  <c r="T65" i="884"/>
  <c r="S65" i="884"/>
  <c r="Q65" i="884"/>
  <c r="P65" i="884"/>
  <c r="O65" i="884"/>
  <c r="N65" i="884"/>
  <c r="K65" i="884"/>
  <c r="I65" i="884"/>
  <c r="G65" i="884"/>
  <c r="E65" i="884"/>
  <c r="C65" i="884"/>
  <c r="A65" i="884"/>
  <c r="AE64" i="884"/>
  <c r="AC64" i="884"/>
  <c r="AA64" i="884"/>
  <c r="Y64" i="884"/>
  <c r="V64" i="884"/>
  <c r="U64" i="884"/>
  <c r="T64" i="884"/>
  <c r="S64" i="884"/>
  <c r="Q64" i="884"/>
  <c r="P64" i="884"/>
  <c r="O64" i="884"/>
  <c r="N64" i="884"/>
  <c r="K64" i="884"/>
  <c r="I64" i="884"/>
  <c r="G64" i="884"/>
  <c r="E64" i="884"/>
  <c r="C64" i="884"/>
  <c r="A64" i="884"/>
  <c r="AE63" i="884"/>
  <c r="AC63" i="884"/>
  <c r="AA63" i="884"/>
  <c r="Y63" i="884"/>
  <c r="V63" i="884"/>
  <c r="U63" i="884"/>
  <c r="T63" i="884"/>
  <c r="S63" i="884"/>
  <c r="Q63" i="884"/>
  <c r="P63" i="884"/>
  <c r="O63" i="884"/>
  <c r="N63" i="884"/>
  <c r="K63" i="884"/>
  <c r="I63" i="884"/>
  <c r="G63" i="884"/>
  <c r="E63" i="884"/>
  <c r="C63" i="884"/>
  <c r="A63" i="884"/>
  <c r="AE62" i="884"/>
  <c r="AC62" i="884"/>
  <c r="AA62" i="884"/>
  <c r="Y62" i="884"/>
  <c r="V62" i="884"/>
  <c r="U62" i="884"/>
  <c r="T62" i="884"/>
  <c r="S62" i="884"/>
  <c r="Q62" i="884"/>
  <c r="P62" i="884"/>
  <c r="O62" i="884"/>
  <c r="N62" i="884"/>
  <c r="K62" i="884"/>
  <c r="I62" i="884"/>
  <c r="G62" i="884"/>
  <c r="E62" i="884"/>
  <c r="C62" i="884"/>
  <c r="A62" i="884"/>
  <c r="AE61" i="884"/>
  <c r="AC61" i="884"/>
  <c r="AA61" i="884"/>
  <c r="Y61" i="884"/>
  <c r="V61" i="884"/>
  <c r="U61" i="884"/>
  <c r="T61" i="884"/>
  <c r="S61" i="884"/>
  <c r="Q61" i="884"/>
  <c r="P61" i="884"/>
  <c r="O61" i="884"/>
  <c r="N61" i="884"/>
  <c r="K61" i="884"/>
  <c r="I61" i="884"/>
  <c r="G61" i="884"/>
  <c r="E61" i="884"/>
  <c r="C61" i="884"/>
  <c r="A61" i="884"/>
  <c r="AE60" i="884"/>
  <c r="AC60" i="884"/>
  <c r="AA60" i="884"/>
  <c r="Y60" i="884"/>
  <c r="V60" i="884"/>
  <c r="U60" i="884"/>
  <c r="T60" i="884"/>
  <c r="S60" i="884"/>
  <c r="Q60" i="884"/>
  <c r="P60" i="884"/>
  <c r="O60" i="884"/>
  <c r="N60" i="884"/>
  <c r="K60" i="884"/>
  <c r="I60" i="884"/>
  <c r="G60" i="884"/>
  <c r="E60" i="884"/>
  <c r="C60" i="884"/>
  <c r="A60" i="884"/>
  <c r="AE59" i="884"/>
  <c r="AC59" i="884"/>
  <c r="AA59" i="884"/>
  <c r="Y59" i="884"/>
  <c r="V59" i="884"/>
  <c r="U59" i="884"/>
  <c r="T59" i="884"/>
  <c r="S59" i="884"/>
  <c r="Q59" i="884"/>
  <c r="P59" i="884"/>
  <c r="O59" i="884"/>
  <c r="N59" i="884"/>
  <c r="K59" i="884"/>
  <c r="I59" i="884"/>
  <c r="G59" i="884"/>
  <c r="E59" i="884"/>
  <c r="C59" i="884"/>
  <c r="A59" i="884"/>
  <c r="AE58" i="884"/>
  <c r="AC58" i="884"/>
  <c r="AA58" i="884"/>
  <c r="Y58" i="884"/>
  <c r="V58" i="884"/>
  <c r="U58" i="884"/>
  <c r="T58" i="884"/>
  <c r="S58" i="884"/>
  <c r="Q58" i="884"/>
  <c r="P58" i="884"/>
  <c r="O58" i="884"/>
  <c r="N58" i="884"/>
  <c r="K58" i="884"/>
  <c r="I58" i="884"/>
  <c r="G58" i="884"/>
  <c r="E58" i="884"/>
  <c r="C58" i="884"/>
  <c r="A58" i="884"/>
  <c r="AE57" i="884"/>
  <c r="AC57" i="884"/>
  <c r="AA57" i="884"/>
  <c r="Y57" i="884"/>
  <c r="V57" i="884"/>
  <c r="U57" i="884"/>
  <c r="T57" i="884"/>
  <c r="S57" i="884"/>
  <c r="Q57" i="884"/>
  <c r="P57" i="884"/>
  <c r="O57" i="884"/>
  <c r="N57" i="884"/>
  <c r="K57" i="884"/>
  <c r="I57" i="884"/>
  <c r="G57" i="884"/>
  <c r="E57" i="884"/>
  <c r="C57" i="884"/>
  <c r="A57" i="884"/>
  <c r="AE56" i="884"/>
  <c r="AC56" i="884"/>
  <c r="AA56" i="884"/>
  <c r="Y56" i="884"/>
  <c r="V56" i="884"/>
  <c r="U56" i="884"/>
  <c r="T56" i="884"/>
  <c r="S56" i="884"/>
  <c r="Q56" i="884"/>
  <c r="P56" i="884"/>
  <c r="O56" i="884"/>
  <c r="N56" i="884"/>
  <c r="K56" i="884"/>
  <c r="I56" i="884"/>
  <c r="G56" i="884"/>
  <c r="E56" i="884"/>
  <c r="C56" i="884"/>
  <c r="A56" i="884"/>
  <c r="AE55" i="884"/>
  <c r="AC55" i="884"/>
  <c r="AA55" i="884"/>
  <c r="Y55" i="884"/>
  <c r="V55" i="884"/>
  <c r="U55" i="884"/>
  <c r="T55" i="884"/>
  <c r="S55" i="884"/>
  <c r="Q55" i="884"/>
  <c r="P55" i="884"/>
  <c r="O55" i="884"/>
  <c r="N55" i="884"/>
  <c r="K55" i="884"/>
  <c r="I55" i="884"/>
  <c r="G55" i="884"/>
  <c r="E55" i="884"/>
  <c r="C55" i="884"/>
  <c r="J29" i="884"/>
  <c r="M3" i="258"/>
  <c r="A55" i="884"/>
  <c r="AE54" i="884"/>
  <c r="AC54" i="884"/>
  <c r="AA54" i="884"/>
  <c r="Y54" i="884"/>
  <c r="V54" i="884"/>
  <c r="U54" i="884"/>
  <c r="T54" i="884"/>
  <c r="S54" i="884"/>
  <c r="Q54" i="884"/>
  <c r="P54" i="884"/>
  <c r="O54" i="884"/>
  <c r="N54" i="884"/>
  <c r="K54" i="884"/>
  <c r="I54" i="884"/>
  <c r="G54" i="884"/>
  <c r="E54" i="884"/>
  <c r="C54" i="884"/>
  <c r="A54" i="884"/>
  <c r="T27" i="884"/>
  <c r="AF3" i="258"/>
  <c r="S27" i="884"/>
  <c r="AE3" i="258"/>
  <c r="A19" i="884"/>
  <c r="T20" i="884"/>
  <c r="Y16" i="884"/>
  <c r="X16" i="884"/>
  <c r="AG3" i="258"/>
  <c r="W16" i="884"/>
  <c r="V16" i="884"/>
  <c r="AA3" i="258"/>
  <c r="U16" i="884"/>
  <c r="S16" i="884"/>
  <c r="S20" i="884"/>
  <c r="X3" i="258"/>
  <c r="R16" i="884"/>
  <c r="Q16" i="884"/>
  <c r="P16" i="884"/>
  <c r="O16" i="884"/>
  <c r="N16" i="884"/>
  <c r="M16" i="884"/>
  <c r="L16" i="884"/>
  <c r="K16" i="884"/>
  <c r="J16" i="884"/>
  <c r="I16" i="884"/>
  <c r="F26" i="884"/>
  <c r="F3" i="257"/>
  <c r="H16" i="884"/>
  <c r="F16" i="884"/>
  <c r="E16" i="884"/>
  <c r="C16" i="884"/>
  <c r="H94" i="883"/>
  <c r="F94" i="883"/>
  <c r="D94" i="883"/>
  <c r="B94" i="883"/>
  <c r="K79" i="883"/>
  <c r="I79" i="883"/>
  <c r="E79" i="883"/>
  <c r="C79" i="883"/>
  <c r="A79" i="883"/>
  <c r="K78" i="883"/>
  <c r="I78" i="883"/>
  <c r="E78" i="883"/>
  <c r="C78" i="883"/>
  <c r="A78" i="883"/>
  <c r="K77" i="883"/>
  <c r="I77" i="883"/>
  <c r="E77" i="883"/>
  <c r="C77" i="883"/>
  <c r="A77" i="883"/>
  <c r="K76" i="883"/>
  <c r="I76" i="883"/>
  <c r="E76" i="883"/>
  <c r="C76" i="883"/>
  <c r="A76" i="883"/>
  <c r="K75" i="883"/>
  <c r="I75" i="883"/>
  <c r="E75" i="883"/>
  <c r="C75" i="883"/>
  <c r="A75" i="883"/>
  <c r="K74" i="883"/>
  <c r="I74" i="883"/>
  <c r="E74" i="883"/>
  <c r="C74" i="883"/>
  <c r="A74" i="883"/>
  <c r="K73" i="883"/>
  <c r="I73" i="883"/>
  <c r="E73" i="883"/>
  <c r="C73" i="883"/>
  <c r="A73" i="883"/>
  <c r="K72" i="883"/>
  <c r="I72" i="883"/>
  <c r="E72" i="883"/>
  <c r="C72" i="883"/>
  <c r="A72" i="883"/>
  <c r="K71" i="883"/>
  <c r="I71" i="883"/>
  <c r="E71" i="883"/>
  <c r="C71" i="883"/>
  <c r="A71" i="883"/>
  <c r="K70" i="883"/>
  <c r="I70" i="883"/>
  <c r="E70" i="883"/>
  <c r="C70" i="883"/>
  <c r="A70" i="883"/>
  <c r="K69" i="883"/>
  <c r="I69" i="883"/>
  <c r="E69" i="883"/>
  <c r="C69" i="883"/>
  <c r="A69" i="883"/>
  <c r="K68" i="883"/>
  <c r="I68" i="883"/>
  <c r="E68" i="883"/>
  <c r="C68" i="883"/>
  <c r="A68" i="883"/>
  <c r="AE65" i="883"/>
  <c r="AC65" i="883"/>
  <c r="AA65" i="883"/>
  <c r="Y65" i="883"/>
  <c r="V65" i="883"/>
  <c r="U65" i="883"/>
  <c r="T65" i="883"/>
  <c r="S65" i="883"/>
  <c r="Q65" i="883"/>
  <c r="P65" i="883"/>
  <c r="O65" i="883"/>
  <c r="N65" i="883"/>
  <c r="K65" i="883"/>
  <c r="I65" i="883"/>
  <c r="G65" i="883"/>
  <c r="E65" i="883"/>
  <c r="C65" i="883"/>
  <c r="A65" i="883"/>
  <c r="AE64" i="883"/>
  <c r="AC64" i="883"/>
  <c r="AA64" i="883"/>
  <c r="Y64" i="883"/>
  <c r="V64" i="883"/>
  <c r="U64" i="883"/>
  <c r="T64" i="883"/>
  <c r="S64" i="883"/>
  <c r="Q64" i="883"/>
  <c r="P64" i="883"/>
  <c r="O64" i="883"/>
  <c r="N64" i="883"/>
  <c r="K64" i="883"/>
  <c r="I64" i="883"/>
  <c r="G64" i="883"/>
  <c r="E64" i="883"/>
  <c r="C64" i="883"/>
  <c r="A64" i="883"/>
  <c r="AE63" i="883"/>
  <c r="AC63" i="883"/>
  <c r="AA63" i="883"/>
  <c r="Y63" i="883"/>
  <c r="V63" i="883"/>
  <c r="U63" i="883"/>
  <c r="T63" i="883"/>
  <c r="S63" i="883"/>
  <c r="Q63" i="883"/>
  <c r="P63" i="883"/>
  <c r="O63" i="883"/>
  <c r="N63" i="883"/>
  <c r="K63" i="883"/>
  <c r="I63" i="883"/>
  <c r="G63" i="883"/>
  <c r="E63" i="883"/>
  <c r="C63" i="883"/>
  <c r="A63" i="883"/>
  <c r="AE62" i="883"/>
  <c r="AC62" i="883"/>
  <c r="AA62" i="883"/>
  <c r="Y62" i="883"/>
  <c r="V62" i="883"/>
  <c r="U62" i="883"/>
  <c r="T62" i="883"/>
  <c r="S62" i="883"/>
  <c r="Q62" i="883"/>
  <c r="P62" i="883"/>
  <c r="O62" i="883"/>
  <c r="N62" i="883"/>
  <c r="K62" i="883"/>
  <c r="I62" i="883"/>
  <c r="G62" i="883"/>
  <c r="E62" i="883"/>
  <c r="C62" i="883"/>
  <c r="A62" i="883"/>
  <c r="AE61" i="883"/>
  <c r="AC61" i="883"/>
  <c r="AA61" i="883"/>
  <c r="Y61" i="883"/>
  <c r="V61" i="883"/>
  <c r="U61" i="883"/>
  <c r="T61" i="883"/>
  <c r="S61" i="883"/>
  <c r="Q61" i="883"/>
  <c r="P61" i="883"/>
  <c r="O61" i="883"/>
  <c r="N61" i="883"/>
  <c r="K61" i="883"/>
  <c r="I61" i="883"/>
  <c r="G61" i="883"/>
  <c r="E61" i="883"/>
  <c r="C61" i="883"/>
  <c r="A61" i="883"/>
  <c r="AE60" i="883"/>
  <c r="AC60" i="883"/>
  <c r="AA60" i="883"/>
  <c r="Y60" i="883"/>
  <c r="V60" i="883"/>
  <c r="U60" i="883"/>
  <c r="T60" i="883"/>
  <c r="S60" i="883"/>
  <c r="Q60" i="883"/>
  <c r="P60" i="883"/>
  <c r="O60" i="883"/>
  <c r="N60" i="883"/>
  <c r="K60" i="883"/>
  <c r="I60" i="883"/>
  <c r="G60" i="883"/>
  <c r="E60" i="883"/>
  <c r="C60" i="883"/>
  <c r="A60" i="883"/>
  <c r="AE59" i="883"/>
  <c r="AC59" i="883"/>
  <c r="AA59" i="883"/>
  <c r="Y59" i="883"/>
  <c r="V59" i="883"/>
  <c r="U59" i="883"/>
  <c r="T59" i="883"/>
  <c r="S59" i="883"/>
  <c r="Q59" i="883"/>
  <c r="P59" i="883"/>
  <c r="O59" i="883"/>
  <c r="N59" i="883"/>
  <c r="K59" i="883"/>
  <c r="I59" i="883"/>
  <c r="G59" i="883"/>
  <c r="E59" i="883"/>
  <c r="C59" i="883"/>
  <c r="A59" i="883"/>
  <c r="AE58" i="883"/>
  <c r="AC58" i="883"/>
  <c r="AA58" i="883"/>
  <c r="Y58" i="883"/>
  <c r="V58" i="883"/>
  <c r="U58" i="883"/>
  <c r="T58" i="883"/>
  <c r="S58" i="883"/>
  <c r="Q58" i="883"/>
  <c r="P58" i="883"/>
  <c r="O58" i="883"/>
  <c r="N58" i="883"/>
  <c r="K58" i="883"/>
  <c r="I58" i="883"/>
  <c r="G58" i="883"/>
  <c r="E58" i="883"/>
  <c r="C58" i="883"/>
  <c r="J29" i="883"/>
  <c r="M4" i="258"/>
  <c r="A58" i="883"/>
  <c r="AE57" i="883"/>
  <c r="AC57" i="883"/>
  <c r="AA57" i="883"/>
  <c r="Y57" i="883"/>
  <c r="V57" i="883"/>
  <c r="U57" i="883"/>
  <c r="T57" i="883"/>
  <c r="S57" i="883"/>
  <c r="Q57" i="883"/>
  <c r="P57" i="883"/>
  <c r="O57" i="883"/>
  <c r="N57" i="883"/>
  <c r="K57" i="883"/>
  <c r="I57" i="883"/>
  <c r="G57" i="883"/>
  <c r="E57" i="883"/>
  <c r="C57" i="883"/>
  <c r="A57" i="883"/>
  <c r="AE56" i="883"/>
  <c r="AC56" i="883"/>
  <c r="AA56" i="883"/>
  <c r="Y56" i="883"/>
  <c r="V56" i="883"/>
  <c r="U56" i="883"/>
  <c r="T56" i="883"/>
  <c r="S56" i="883"/>
  <c r="Q56" i="883"/>
  <c r="P56" i="883"/>
  <c r="O56" i="883"/>
  <c r="N56" i="883"/>
  <c r="K56" i="883"/>
  <c r="I56" i="883"/>
  <c r="G56" i="883"/>
  <c r="E56" i="883"/>
  <c r="C56" i="883"/>
  <c r="A56" i="883"/>
  <c r="AE55" i="883"/>
  <c r="AC55" i="883"/>
  <c r="AA55" i="883"/>
  <c r="Y55" i="883"/>
  <c r="V55" i="883"/>
  <c r="U55" i="883"/>
  <c r="T55" i="883"/>
  <c r="S55" i="883"/>
  <c r="Q55" i="883"/>
  <c r="P55" i="883"/>
  <c r="O55" i="883"/>
  <c r="N55" i="883"/>
  <c r="K55" i="883"/>
  <c r="I55" i="883"/>
  <c r="G55" i="883"/>
  <c r="E55" i="883"/>
  <c r="C55" i="883"/>
  <c r="A55" i="883"/>
  <c r="AE54" i="883"/>
  <c r="AC54" i="883"/>
  <c r="AA54" i="883"/>
  <c r="Y54" i="883"/>
  <c r="V54" i="883"/>
  <c r="U54" i="883"/>
  <c r="T54" i="883"/>
  <c r="S54" i="883"/>
  <c r="Q54" i="883"/>
  <c r="P54" i="883"/>
  <c r="O54" i="883"/>
  <c r="N54" i="883"/>
  <c r="K54" i="883"/>
  <c r="N25" i="883"/>
  <c r="I54" i="883"/>
  <c r="G54" i="883"/>
  <c r="E54" i="883"/>
  <c r="C54" i="883"/>
  <c r="A54" i="883"/>
  <c r="T27" i="883"/>
  <c r="AF4" i="258"/>
  <c r="S27" i="883"/>
  <c r="AE4" i="258"/>
  <c r="A19" i="883"/>
  <c r="T20" i="883"/>
  <c r="Y16" i="883"/>
  <c r="X16" i="883"/>
  <c r="AG4" i="258"/>
  <c r="W16" i="883"/>
  <c r="V16" i="883"/>
  <c r="AA4" i="258"/>
  <c r="U16" i="883"/>
  <c r="S16" i="883"/>
  <c r="S20" i="883"/>
  <c r="X4" i="258"/>
  <c r="R16" i="883"/>
  <c r="Q16" i="883"/>
  <c r="P16" i="883"/>
  <c r="O16" i="883"/>
  <c r="N16" i="883"/>
  <c r="M16" i="883"/>
  <c r="L16" i="883"/>
  <c r="K16" i="883"/>
  <c r="J16" i="883"/>
  <c r="I16" i="883"/>
  <c r="H16" i="883"/>
  <c r="F16" i="883"/>
  <c r="E16" i="883"/>
  <c r="C16" i="883"/>
  <c r="H94" i="882"/>
  <c r="F94" i="882"/>
  <c r="D94" i="882"/>
  <c r="B94" i="882"/>
  <c r="K79" i="882"/>
  <c r="I79" i="882"/>
  <c r="E79" i="882"/>
  <c r="C79" i="882"/>
  <c r="A79" i="882"/>
  <c r="K78" i="882"/>
  <c r="I78" i="882"/>
  <c r="E78" i="882"/>
  <c r="C78" i="882"/>
  <c r="A78" i="882"/>
  <c r="K77" i="882"/>
  <c r="I77" i="882"/>
  <c r="E77" i="882"/>
  <c r="C77" i="882"/>
  <c r="A77" i="882"/>
  <c r="K76" i="882"/>
  <c r="I76" i="882"/>
  <c r="E76" i="882"/>
  <c r="C76" i="882"/>
  <c r="A76" i="882"/>
  <c r="K75" i="882"/>
  <c r="I75" i="882"/>
  <c r="E75" i="882"/>
  <c r="C75" i="882"/>
  <c r="A75" i="882"/>
  <c r="K74" i="882"/>
  <c r="I74" i="882"/>
  <c r="E74" i="882"/>
  <c r="C74" i="882"/>
  <c r="A74" i="882"/>
  <c r="K73" i="882"/>
  <c r="I73" i="882"/>
  <c r="E73" i="882"/>
  <c r="C73" i="882"/>
  <c r="A73" i="882"/>
  <c r="K72" i="882"/>
  <c r="I72" i="882"/>
  <c r="E72" i="882"/>
  <c r="C72" i="882"/>
  <c r="A72" i="882"/>
  <c r="K71" i="882"/>
  <c r="I71" i="882"/>
  <c r="E71" i="882"/>
  <c r="C71" i="882"/>
  <c r="A71" i="882"/>
  <c r="K70" i="882"/>
  <c r="I70" i="882"/>
  <c r="E70" i="882"/>
  <c r="C70" i="882"/>
  <c r="A70" i="882"/>
  <c r="K69" i="882"/>
  <c r="I69" i="882"/>
  <c r="E69" i="882"/>
  <c r="C69" i="882"/>
  <c r="A69" i="882"/>
  <c r="K68" i="882"/>
  <c r="I68" i="882"/>
  <c r="E68" i="882"/>
  <c r="C68" i="882"/>
  <c r="A68" i="882"/>
  <c r="AE65" i="882"/>
  <c r="AC65" i="882"/>
  <c r="AA65" i="882"/>
  <c r="Y65" i="882"/>
  <c r="V65" i="882"/>
  <c r="U65" i="882"/>
  <c r="T65" i="882"/>
  <c r="S65" i="882"/>
  <c r="Q65" i="882"/>
  <c r="P65" i="882"/>
  <c r="O65" i="882"/>
  <c r="N65" i="882"/>
  <c r="K65" i="882"/>
  <c r="I65" i="882"/>
  <c r="G65" i="882"/>
  <c r="E65" i="882"/>
  <c r="C65" i="882"/>
  <c r="A65" i="882"/>
  <c r="AE64" i="882"/>
  <c r="AC64" i="882"/>
  <c r="AA64" i="882"/>
  <c r="Y64" i="882"/>
  <c r="V64" i="882"/>
  <c r="U64" i="882"/>
  <c r="T64" i="882"/>
  <c r="S64" i="882"/>
  <c r="Q64" i="882"/>
  <c r="P64" i="882"/>
  <c r="O64" i="882"/>
  <c r="N64" i="882"/>
  <c r="K64" i="882"/>
  <c r="I64" i="882"/>
  <c r="G64" i="882"/>
  <c r="E64" i="882"/>
  <c r="C64" i="882"/>
  <c r="A64" i="882"/>
  <c r="K24" i="882"/>
  <c r="I5" i="258"/>
  <c r="AE63" i="882"/>
  <c r="AC63" i="882"/>
  <c r="AA63" i="882"/>
  <c r="Y63" i="882"/>
  <c r="V63" i="882"/>
  <c r="U63" i="882"/>
  <c r="T63" i="882"/>
  <c r="S63" i="882"/>
  <c r="Q63" i="882"/>
  <c r="P63" i="882"/>
  <c r="O63" i="882"/>
  <c r="N63" i="882"/>
  <c r="K63" i="882"/>
  <c r="I63" i="882"/>
  <c r="G63" i="882"/>
  <c r="E63" i="882"/>
  <c r="C63" i="882"/>
  <c r="A63" i="882"/>
  <c r="AE62" i="882"/>
  <c r="AC62" i="882"/>
  <c r="AA62" i="882"/>
  <c r="Y62" i="882"/>
  <c r="V62" i="882"/>
  <c r="U62" i="882"/>
  <c r="T62" i="882"/>
  <c r="S62" i="882"/>
  <c r="Q62" i="882"/>
  <c r="P62" i="882"/>
  <c r="O62" i="882"/>
  <c r="N62" i="882"/>
  <c r="K62" i="882"/>
  <c r="I62" i="882"/>
  <c r="G62" i="882"/>
  <c r="E62" i="882"/>
  <c r="C62" i="882"/>
  <c r="A62" i="882"/>
  <c r="AE61" i="882"/>
  <c r="AC61" i="882"/>
  <c r="AA61" i="882"/>
  <c r="Y61" i="882"/>
  <c r="V61" i="882"/>
  <c r="U61" i="882"/>
  <c r="T61" i="882"/>
  <c r="S61" i="882"/>
  <c r="Q61" i="882"/>
  <c r="P61" i="882"/>
  <c r="O61" i="882"/>
  <c r="N61" i="882"/>
  <c r="K61" i="882"/>
  <c r="I61" i="882"/>
  <c r="G61" i="882"/>
  <c r="E61" i="882"/>
  <c r="C61" i="882"/>
  <c r="A61" i="882"/>
  <c r="AE60" i="882"/>
  <c r="AC60" i="882"/>
  <c r="AA60" i="882"/>
  <c r="Y60" i="882"/>
  <c r="V60" i="882"/>
  <c r="U60" i="882"/>
  <c r="T60" i="882"/>
  <c r="S60" i="882"/>
  <c r="Q60" i="882"/>
  <c r="P60" i="882"/>
  <c r="O60" i="882"/>
  <c r="N60" i="882"/>
  <c r="K60" i="882"/>
  <c r="I60" i="882"/>
  <c r="G60" i="882"/>
  <c r="E60" i="882"/>
  <c r="C60" i="882"/>
  <c r="A60" i="882"/>
  <c r="AE59" i="882"/>
  <c r="AC59" i="882"/>
  <c r="AA59" i="882"/>
  <c r="Y59" i="882"/>
  <c r="V59" i="882"/>
  <c r="U59" i="882"/>
  <c r="T59" i="882"/>
  <c r="S59" i="882"/>
  <c r="Q59" i="882"/>
  <c r="P59" i="882"/>
  <c r="O59" i="882"/>
  <c r="N59" i="882"/>
  <c r="K59" i="882"/>
  <c r="I59" i="882"/>
  <c r="G59" i="882"/>
  <c r="E59" i="882"/>
  <c r="C59" i="882"/>
  <c r="A59" i="882"/>
  <c r="AE58" i="882"/>
  <c r="AC58" i="882"/>
  <c r="AA58" i="882"/>
  <c r="Y58" i="882"/>
  <c r="V58" i="882"/>
  <c r="U58" i="882"/>
  <c r="T58" i="882"/>
  <c r="S58" i="882"/>
  <c r="Q58" i="882"/>
  <c r="P58" i="882"/>
  <c r="O58" i="882"/>
  <c r="N58" i="882"/>
  <c r="K58" i="882"/>
  <c r="I58" i="882"/>
  <c r="G58" i="882"/>
  <c r="E58" i="882"/>
  <c r="C58" i="882"/>
  <c r="A58" i="882"/>
  <c r="AE57" i="882"/>
  <c r="AC57" i="882"/>
  <c r="AA57" i="882"/>
  <c r="Y57" i="882"/>
  <c r="V57" i="882"/>
  <c r="U57" i="882"/>
  <c r="T57" i="882"/>
  <c r="S57" i="882"/>
  <c r="Q57" i="882"/>
  <c r="P57" i="882"/>
  <c r="O57" i="882"/>
  <c r="N57" i="882"/>
  <c r="K57" i="882"/>
  <c r="I57" i="882"/>
  <c r="G57" i="882"/>
  <c r="E57" i="882"/>
  <c r="C57" i="882"/>
  <c r="A57" i="882"/>
  <c r="AE56" i="882"/>
  <c r="AC56" i="882"/>
  <c r="AA56" i="882"/>
  <c r="Y56" i="882"/>
  <c r="V56" i="882"/>
  <c r="U56" i="882"/>
  <c r="T56" i="882"/>
  <c r="S56" i="882"/>
  <c r="Q56" i="882"/>
  <c r="P56" i="882"/>
  <c r="O56" i="882"/>
  <c r="N56" i="882"/>
  <c r="K56" i="882"/>
  <c r="I56" i="882"/>
  <c r="G56" i="882"/>
  <c r="E56" i="882"/>
  <c r="C56" i="882"/>
  <c r="A56" i="882"/>
  <c r="AE55" i="882"/>
  <c r="AC55" i="882"/>
  <c r="AA55" i="882"/>
  <c r="Y55" i="882"/>
  <c r="V55" i="882"/>
  <c r="U55" i="882"/>
  <c r="T55" i="882"/>
  <c r="S55" i="882"/>
  <c r="Q55" i="882"/>
  <c r="P55" i="882"/>
  <c r="O55" i="882"/>
  <c r="N55" i="882"/>
  <c r="K55" i="882"/>
  <c r="I55" i="882"/>
  <c r="G55" i="882"/>
  <c r="E55" i="882"/>
  <c r="C55" i="882"/>
  <c r="A55" i="882"/>
  <c r="AE54" i="882"/>
  <c r="AC54" i="882"/>
  <c r="AA54" i="882"/>
  <c r="Y54" i="882"/>
  <c r="V54" i="882"/>
  <c r="U54" i="882"/>
  <c r="T54" i="882"/>
  <c r="S54" i="882"/>
  <c r="Q54" i="882"/>
  <c r="P54" i="882"/>
  <c r="O54" i="882"/>
  <c r="N54" i="882"/>
  <c r="K54" i="882"/>
  <c r="I54" i="882"/>
  <c r="G54" i="882"/>
  <c r="E54" i="882"/>
  <c r="C54" i="882"/>
  <c r="A54" i="882"/>
  <c r="T27" i="882"/>
  <c r="AF5" i="258"/>
  <c r="S27" i="882"/>
  <c r="AE5" i="258"/>
  <c r="A19" i="882"/>
  <c r="T20" i="882"/>
  <c r="Y16" i="882"/>
  <c r="X16" i="882"/>
  <c r="AG5" i="258"/>
  <c r="W16" i="882"/>
  <c r="V16" i="882"/>
  <c r="U16" i="882"/>
  <c r="S16" i="882"/>
  <c r="S20" i="882"/>
  <c r="X5" i="258"/>
  <c r="R16" i="882"/>
  <c r="Q16" i="882"/>
  <c r="P16" i="882"/>
  <c r="O16" i="882"/>
  <c r="N16" i="882"/>
  <c r="M16" i="882"/>
  <c r="L16" i="882"/>
  <c r="K16" i="882"/>
  <c r="J16" i="882"/>
  <c r="I16" i="882"/>
  <c r="H16" i="882"/>
  <c r="F16" i="882"/>
  <c r="E16" i="882"/>
  <c r="B5" i="258"/>
  <c r="C16" i="882"/>
  <c r="H94" i="881"/>
  <c r="F94" i="881"/>
  <c r="D94" i="881"/>
  <c r="B94" i="881"/>
  <c r="K79" i="881"/>
  <c r="I79" i="881"/>
  <c r="E79" i="881"/>
  <c r="C79" i="881"/>
  <c r="A79" i="881"/>
  <c r="K78" i="881"/>
  <c r="I78" i="881"/>
  <c r="E78" i="881"/>
  <c r="C78" i="881"/>
  <c r="A78" i="881"/>
  <c r="K77" i="881"/>
  <c r="I77" i="881"/>
  <c r="E77" i="881"/>
  <c r="C77" i="881"/>
  <c r="A77" i="881"/>
  <c r="K76" i="881"/>
  <c r="I76" i="881"/>
  <c r="E76" i="881"/>
  <c r="C76" i="881"/>
  <c r="A76" i="881"/>
  <c r="K75" i="881"/>
  <c r="I75" i="881"/>
  <c r="E75" i="881"/>
  <c r="C75" i="881"/>
  <c r="A75" i="881"/>
  <c r="K74" i="881"/>
  <c r="I74" i="881"/>
  <c r="E74" i="881"/>
  <c r="C74" i="881"/>
  <c r="A74" i="881"/>
  <c r="K73" i="881"/>
  <c r="I73" i="881"/>
  <c r="E73" i="881"/>
  <c r="C73" i="881"/>
  <c r="A73" i="881"/>
  <c r="K72" i="881"/>
  <c r="I72" i="881"/>
  <c r="E72" i="881"/>
  <c r="C72" i="881"/>
  <c r="A72" i="881"/>
  <c r="K71" i="881"/>
  <c r="I71" i="881"/>
  <c r="E71" i="881"/>
  <c r="C71" i="881"/>
  <c r="A71" i="881"/>
  <c r="K70" i="881"/>
  <c r="I70" i="881"/>
  <c r="E70" i="881"/>
  <c r="C70" i="881"/>
  <c r="A70" i="881"/>
  <c r="K69" i="881"/>
  <c r="I69" i="881"/>
  <c r="E69" i="881"/>
  <c r="C69" i="881"/>
  <c r="A69" i="881"/>
  <c r="K68" i="881"/>
  <c r="I68" i="881"/>
  <c r="E68" i="881"/>
  <c r="C68" i="881"/>
  <c r="A68" i="881"/>
  <c r="AE65" i="881"/>
  <c r="AC65" i="881"/>
  <c r="AA65" i="881"/>
  <c r="Y65" i="881"/>
  <c r="V65" i="881"/>
  <c r="U65" i="881"/>
  <c r="T65" i="881"/>
  <c r="S65" i="881"/>
  <c r="Q65" i="881"/>
  <c r="P65" i="881"/>
  <c r="O65" i="881"/>
  <c r="N65" i="881"/>
  <c r="K65" i="881"/>
  <c r="I65" i="881"/>
  <c r="G65" i="881"/>
  <c r="E65" i="881"/>
  <c r="C65" i="881"/>
  <c r="A65" i="881"/>
  <c r="AE64" i="881"/>
  <c r="AC64" i="881"/>
  <c r="AA64" i="881"/>
  <c r="Y64" i="881"/>
  <c r="V64" i="881"/>
  <c r="U64" i="881"/>
  <c r="T64" i="881"/>
  <c r="S64" i="881"/>
  <c r="Q64" i="881"/>
  <c r="P64" i="881"/>
  <c r="O64" i="881"/>
  <c r="N64" i="881"/>
  <c r="K64" i="881"/>
  <c r="I64" i="881"/>
  <c r="G64" i="881"/>
  <c r="E64" i="881"/>
  <c r="C64" i="881"/>
  <c r="A64" i="881"/>
  <c r="AE63" i="881"/>
  <c r="AC63" i="881"/>
  <c r="AA63" i="881"/>
  <c r="Y63" i="881"/>
  <c r="V63" i="881"/>
  <c r="U63" i="881"/>
  <c r="T63" i="881"/>
  <c r="S63" i="881"/>
  <c r="Q63" i="881"/>
  <c r="P63" i="881"/>
  <c r="O63" i="881"/>
  <c r="N63" i="881"/>
  <c r="K63" i="881"/>
  <c r="I63" i="881"/>
  <c r="G63" i="881"/>
  <c r="E63" i="881"/>
  <c r="C63" i="881"/>
  <c r="A63" i="881"/>
  <c r="AE62" i="881"/>
  <c r="AC62" i="881"/>
  <c r="AA62" i="881"/>
  <c r="Y62" i="881"/>
  <c r="V62" i="881"/>
  <c r="U62" i="881"/>
  <c r="T62" i="881"/>
  <c r="S62" i="881"/>
  <c r="Q62" i="881"/>
  <c r="P62" i="881"/>
  <c r="O62" i="881"/>
  <c r="N62" i="881"/>
  <c r="K62" i="881"/>
  <c r="I62" i="881"/>
  <c r="G62" i="881"/>
  <c r="E62" i="881"/>
  <c r="C62" i="881"/>
  <c r="A62" i="881"/>
  <c r="AE61" i="881"/>
  <c r="AC61" i="881"/>
  <c r="AA61" i="881"/>
  <c r="Y61" i="881"/>
  <c r="V61" i="881"/>
  <c r="U61" i="881"/>
  <c r="T61" i="881"/>
  <c r="S61" i="881"/>
  <c r="Q61" i="881"/>
  <c r="P61" i="881"/>
  <c r="O61" i="881"/>
  <c r="N61" i="881"/>
  <c r="K61" i="881"/>
  <c r="I61" i="881"/>
  <c r="G61" i="881"/>
  <c r="E61" i="881"/>
  <c r="C61" i="881"/>
  <c r="A61" i="881"/>
  <c r="AE60" i="881"/>
  <c r="AC60" i="881"/>
  <c r="AA60" i="881"/>
  <c r="Y60" i="881"/>
  <c r="V60" i="881"/>
  <c r="U60" i="881"/>
  <c r="T60" i="881"/>
  <c r="S60" i="881"/>
  <c r="Q60" i="881"/>
  <c r="P60" i="881"/>
  <c r="O60" i="881"/>
  <c r="N60" i="881"/>
  <c r="K60" i="881"/>
  <c r="I60" i="881"/>
  <c r="G60" i="881"/>
  <c r="E60" i="881"/>
  <c r="C60" i="881"/>
  <c r="A60" i="881"/>
  <c r="AE59" i="881"/>
  <c r="AC59" i="881"/>
  <c r="AA59" i="881"/>
  <c r="Y59" i="881"/>
  <c r="V59" i="881"/>
  <c r="U59" i="881"/>
  <c r="T59" i="881"/>
  <c r="S59" i="881"/>
  <c r="Q59" i="881"/>
  <c r="P59" i="881"/>
  <c r="O59" i="881"/>
  <c r="N59" i="881"/>
  <c r="K59" i="881"/>
  <c r="I59" i="881"/>
  <c r="G59" i="881"/>
  <c r="E59" i="881"/>
  <c r="C59" i="881"/>
  <c r="A59" i="881"/>
  <c r="AE58" i="881"/>
  <c r="AC58" i="881"/>
  <c r="AA58" i="881"/>
  <c r="Y58" i="881"/>
  <c r="V58" i="881"/>
  <c r="U58" i="881"/>
  <c r="T58" i="881"/>
  <c r="S58" i="881"/>
  <c r="Q58" i="881"/>
  <c r="P58" i="881"/>
  <c r="O58" i="881"/>
  <c r="N58" i="881"/>
  <c r="K58" i="881"/>
  <c r="I58" i="881"/>
  <c r="G58" i="881"/>
  <c r="E58" i="881"/>
  <c r="C58" i="881"/>
  <c r="A58" i="881"/>
  <c r="AE57" i="881"/>
  <c r="AC57" i="881"/>
  <c r="AA57" i="881"/>
  <c r="Y57" i="881"/>
  <c r="V57" i="881"/>
  <c r="U57" i="881"/>
  <c r="T57" i="881"/>
  <c r="S57" i="881"/>
  <c r="Q57" i="881"/>
  <c r="P57" i="881"/>
  <c r="O57" i="881"/>
  <c r="N57" i="881"/>
  <c r="K57" i="881"/>
  <c r="I57" i="881"/>
  <c r="G57" i="881"/>
  <c r="E57" i="881"/>
  <c r="C57" i="881"/>
  <c r="A57" i="881"/>
  <c r="AE56" i="881"/>
  <c r="AC56" i="881"/>
  <c r="AA56" i="881"/>
  <c r="Y56" i="881"/>
  <c r="V56" i="881"/>
  <c r="U56" i="881"/>
  <c r="T56" i="881"/>
  <c r="S56" i="881"/>
  <c r="Q56" i="881"/>
  <c r="P56" i="881"/>
  <c r="O56" i="881"/>
  <c r="N56" i="881"/>
  <c r="K56" i="881"/>
  <c r="I56" i="881"/>
  <c r="G56" i="881"/>
  <c r="E56" i="881"/>
  <c r="C56" i="881"/>
  <c r="A56" i="881"/>
  <c r="AE55" i="881"/>
  <c r="AC55" i="881"/>
  <c r="AA55" i="881"/>
  <c r="Y55" i="881"/>
  <c r="V55" i="881"/>
  <c r="U55" i="881"/>
  <c r="T55" i="881"/>
  <c r="S55" i="881"/>
  <c r="Q55" i="881"/>
  <c r="P55" i="881"/>
  <c r="O55" i="881"/>
  <c r="N55" i="881"/>
  <c r="K55" i="881"/>
  <c r="I55" i="881"/>
  <c r="G55" i="881"/>
  <c r="E55" i="881"/>
  <c r="C55" i="881"/>
  <c r="A55" i="881"/>
  <c r="AE54" i="881"/>
  <c r="AC54" i="881"/>
  <c r="AA54" i="881"/>
  <c r="Y54" i="881"/>
  <c r="V54" i="881"/>
  <c r="U54" i="881"/>
  <c r="T54" i="881"/>
  <c r="S54" i="881"/>
  <c r="Q54" i="881"/>
  <c r="P54" i="881"/>
  <c r="O54" i="881"/>
  <c r="N54" i="881"/>
  <c r="K54" i="881"/>
  <c r="I54" i="881"/>
  <c r="G54" i="881"/>
  <c r="E54" i="881"/>
  <c r="C54" i="881"/>
  <c r="A54" i="881"/>
  <c r="T27" i="881"/>
  <c r="AF6" i="258"/>
  <c r="S27" i="881"/>
  <c r="AE6" i="258"/>
  <c r="A19" i="881"/>
  <c r="T20" i="881"/>
  <c r="Y16" i="881"/>
  <c r="X16" i="881"/>
  <c r="AG6" i="258"/>
  <c r="W16" i="881"/>
  <c r="V16" i="881"/>
  <c r="U16" i="881"/>
  <c r="S16" i="881"/>
  <c r="S20" i="881"/>
  <c r="X6" i="258"/>
  <c r="R16" i="881"/>
  <c r="Q16" i="881"/>
  <c r="P16" i="881"/>
  <c r="O16" i="881"/>
  <c r="N16" i="881"/>
  <c r="M16" i="881"/>
  <c r="L16" i="881"/>
  <c r="K16" i="881"/>
  <c r="J16" i="881"/>
  <c r="I16" i="881"/>
  <c r="H16" i="881"/>
  <c r="F16" i="881"/>
  <c r="E16" i="881"/>
  <c r="C16" i="881"/>
  <c r="H94" i="880"/>
  <c r="F94" i="880"/>
  <c r="D94" i="880"/>
  <c r="B94" i="880"/>
  <c r="K79" i="880"/>
  <c r="I79" i="880"/>
  <c r="E79" i="880"/>
  <c r="C79" i="880"/>
  <c r="A79" i="880"/>
  <c r="K78" i="880"/>
  <c r="I78" i="880"/>
  <c r="E78" i="880"/>
  <c r="C78" i="880"/>
  <c r="A78" i="880"/>
  <c r="K77" i="880"/>
  <c r="I77" i="880"/>
  <c r="E77" i="880"/>
  <c r="C77" i="880"/>
  <c r="A77" i="880"/>
  <c r="K76" i="880"/>
  <c r="I76" i="880"/>
  <c r="E76" i="880"/>
  <c r="C76" i="880"/>
  <c r="A76" i="880"/>
  <c r="K75" i="880"/>
  <c r="I75" i="880"/>
  <c r="E75" i="880"/>
  <c r="C75" i="880"/>
  <c r="A75" i="880"/>
  <c r="K74" i="880"/>
  <c r="I74" i="880"/>
  <c r="E74" i="880"/>
  <c r="C74" i="880"/>
  <c r="A74" i="880"/>
  <c r="K73" i="880"/>
  <c r="I73" i="880"/>
  <c r="E73" i="880"/>
  <c r="C73" i="880"/>
  <c r="A73" i="880"/>
  <c r="K72" i="880"/>
  <c r="I72" i="880"/>
  <c r="E72" i="880"/>
  <c r="C72" i="880"/>
  <c r="A72" i="880"/>
  <c r="K71" i="880"/>
  <c r="I71" i="880"/>
  <c r="E71" i="880"/>
  <c r="C71" i="880"/>
  <c r="A71" i="880"/>
  <c r="K70" i="880"/>
  <c r="I70" i="880"/>
  <c r="E70" i="880"/>
  <c r="C70" i="880"/>
  <c r="A70" i="880"/>
  <c r="K69" i="880"/>
  <c r="I69" i="880"/>
  <c r="E69" i="880"/>
  <c r="C69" i="880"/>
  <c r="A69" i="880"/>
  <c r="K68" i="880"/>
  <c r="I68" i="880"/>
  <c r="E68" i="880"/>
  <c r="C68" i="880"/>
  <c r="A68" i="880"/>
  <c r="AE65" i="880"/>
  <c r="AC65" i="880"/>
  <c r="AA65" i="880"/>
  <c r="Y65" i="880"/>
  <c r="V65" i="880"/>
  <c r="U65" i="880"/>
  <c r="T65" i="880"/>
  <c r="S65" i="880"/>
  <c r="Q65" i="880"/>
  <c r="P65" i="880"/>
  <c r="O65" i="880"/>
  <c r="N65" i="880"/>
  <c r="K65" i="880"/>
  <c r="I65" i="880"/>
  <c r="G65" i="880"/>
  <c r="E65" i="880"/>
  <c r="C65" i="880"/>
  <c r="A65" i="880"/>
  <c r="A54" i="880"/>
  <c r="A55" i="880"/>
  <c r="A56" i="880"/>
  <c r="A57" i="880"/>
  <c r="A58" i="880"/>
  <c r="A59" i="880"/>
  <c r="A60" i="880"/>
  <c r="A61" i="880"/>
  <c r="A62" i="880"/>
  <c r="A63" i="880"/>
  <c r="A64" i="880"/>
  <c r="K24" i="880"/>
  <c r="I7" i="258"/>
  <c r="AE64" i="880"/>
  <c r="AC64" i="880"/>
  <c r="AA64" i="880"/>
  <c r="Y64" i="880"/>
  <c r="V64" i="880"/>
  <c r="U64" i="880"/>
  <c r="T64" i="880"/>
  <c r="S64" i="880"/>
  <c r="Q64" i="880"/>
  <c r="P64" i="880"/>
  <c r="O64" i="880"/>
  <c r="N64" i="880"/>
  <c r="K64" i="880"/>
  <c r="I64" i="880"/>
  <c r="G64" i="880"/>
  <c r="E64" i="880"/>
  <c r="C64" i="880"/>
  <c r="AE63" i="880"/>
  <c r="AC63" i="880"/>
  <c r="AA63" i="880"/>
  <c r="Y63" i="880"/>
  <c r="V63" i="880"/>
  <c r="U63" i="880"/>
  <c r="T63" i="880"/>
  <c r="S63" i="880"/>
  <c r="Q63" i="880"/>
  <c r="P63" i="880"/>
  <c r="O63" i="880"/>
  <c r="N63" i="880"/>
  <c r="K63" i="880"/>
  <c r="I63" i="880"/>
  <c r="G63" i="880"/>
  <c r="E63" i="880"/>
  <c r="C63" i="880"/>
  <c r="AE62" i="880"/>
  <c r="AC62" i="880"/>
  <c r="AA62" i="880"/>
  <c r="Y62" i="880"/>
  <c r="V62" i="880"/>
  <c r="U62" i="880"/>
  <c r="T62" i="880"/>
  <c r="S62" i="880"/>
  <c r="Q62" i="880"/>
  <c r="P62" i="880"/>
  <c r="O62" i="880"/>
  <c r="N62" i="880"/>
  <c r="K62" i="880"/>
  <c r="I62" i="880"/>
  <c r="G62" i="880"/>
  <c r="E62" i="880"/>
  <c r="C62" i="880"/>
  <c r="AE61" i="880"/>
  <c r="AC61" i="880"/>
  <c r="AA61" i="880"/>
  <c r="Y61" i="880"/>
  <c r="V61" i="880"/>
  <c r="U61" i="880"/>
  <c r="T61" i="880"/>
  <c r="S61" i="880"/>
  <c r="Q61" i="880"/>
  <c r="P61" i="880"/>
  <c r="O61" i="880"/>
  <c r="N61" i="880"/>
  <c r="K61" i="880"/>
  <c r="I61" i="880"/>
  <c r="G61" i="880"/>
  <c r="E61" i="880"/>
  <c r="C61" i="880"/>
  <c r="AE60" i="880"/>
  <c r="AC60" i="880"/>
  <c r="AA60" i="880"/>
  <c r="Y60" i="880"/>
  <c r="V60" i="880"/>
  <c r="U60" i="880"/>
  <c r="T60" i="880"/>
  <c r="S60" i="880"/>
  <c r="Q60" i="880"/>
  <c r="P60" i="880"/>
  <c r="O60" i="880"/>
  <c r="N60" i="880"/>
  <c r="K60" i="880"/>
  <c r="I60" i="880"/>
  <c r="G60" i="880"/>
  <c r="E60" i="880"/>
  <c r="C60" i="880"/>
  <c r="AE59" i="880"/>
  <c r="AC59" i="880"/>
  <c r="AA59" i="880"/>
  <c r="Y59" i="880"/>
  <c r="V59" i="880"/>
  <c r="U59" i="880"/>
  <c r="T59" i="880"/>
  <c r="S59" i="880"/>
  <c r="Q59" i="880"/>
  <c r="P59" i="880"/>
  <c r="O59" i="880"/>
  <c r="N59" i="880"/>
  <c r="K59" i="880"/>
  <c r="I59" i="880"/>
  <c r="G59" i="880"/>
  <c r="E59" i="880"/>
  <c r="C59" i="880"/>
  <c r="AE58" i="880"/>
  <c r="AC58" i="880"/>
  <c r="AA58" i="880"/>
  <c r="Y58" i="880"/>
  <c r="V58" i="880"/>
  <c r="U58" i="880"/>
  <c r="T58" i="880"/>
  <c r="S58" i="880"/>
  <c r="Q58" i="880"/>
  <c r="P58" i="880"/>
  <c r="O58" i="880"/>
  <c r="N58" i="880"/>
  <c r="K58" i="880"/>
  <c r="I58" i="880"/>
  <c r="G58" i="880"/>
  <c r="E58" i="880"/>
  <c r="C58" i="880"/>
  <c r="AE57" i="880"/>
  <c r="AC57" i="880"/>
  <c r="AA57" i="880"/>
  <c r="Y57" i="880"/>
  <c r="V57" i="880"/>
  <c r="U57" i="880"/>
  <c r="T57" i="880"/>
  <c r="S57" i="880"/>
  <c r="Q57" i="880"/>
  <c r="P57" i="880"/>
  <c r="O57" i="880"/>
  <c r="N57" i="880"/>
  <c r="K57" i="880"/>
  <c r="I57" i="880"/>
  <c r="G57" i="880"/>
  <c r="E57" i="880"/>
  <c r="C57" i="880"/>
  <c r="AE56" i="880"/>
  <c r="AC56" i="880"/>
  <c r="AA56" i="880"/>
  <c r="Y56" i="880"/>
  <c r="V56" i="880"/>
  <c r="U56" i="880"/>
  <c r="T56" i="880"/>
  <c r="S56" i="880"/>
  <c r="Q56" i="880"/>
  <c r="P56" i="880"/>
  <c r="O56" i="880"/>
  <c r="N56" i="880"/>
  <c r="K56" i="880"/>
  <c r="I56" i="880"/>
  <c r="G56" i="880"/>
  <c r="E56" i="880"/>
  <c r="C56" i="880"/>
  <c r="AE55" i="880"/>
  <c r="AC55" i="880"/>
  <c r="AA55" i="880"/>
  <c r="Y55" i="880"/>
  <c r="V55" i="880"/>
  <c r="U55" i="880"/>
  <c r="T55" i="880"/>
  <c r="S55" i="880"/>
  <c r="Q55" i="880"/>
  <c r="P55" i="880"/>
  <c r="O55" i="880"/>
  <c r="N55" i="880"/>
  <c r="K55" i="880"/>
  <c r="I55" i="880"/>
  <c r="G55" i="880"/>
  <c r="E55" i="880"/>
  <c r="C55" i="880"/>
  <c r="AE54" i="880"/>
  <c r="AC54" i="880"/>
  <c r="AA54" i="880"/>
  <c r="Y54" i="880"/>
  <c r="V54" i="880"/>
  <c r="U54" i="880"/>
  <c r="T54" i="880"/>
  <c r="S54" i="880"/>
  <c r="Q54" i="880"/>
  <c r="P54" i="880"/>
  <c r="O54" i="880"/>
  <c r="N54" i="880"/>
  <c r="K54" i="880"/>
  <c r="I54" i="880"/>
  <c r="G54" i="880"/>
  <c r="E54" i="880"/>
  <c r="C54" i="880"/>
  <c r="J29" i="880"/>
  <c r="M7" i="258"/>
  <c r="T27" i="880"/>
  <c r="AF7" i="258"/>
  <c r="S27" i="880"/>
  <c r="AE7" i="258"/>
  <c r="A19" i="880"/>
  <c r="T20" i="880"/>
  <c r="Y16" i="880"/>
  <c r="X16" i="880"/>
  <c r="AG7" i="258"/>
  <c r="W16" i="880"/>
  <c r="V16" i="880"/>
  <c r="U16" i="880"/>
  <c r="S16" i="880"/>
  <c r="S20" i="880"/>
  <c r="X7" i="258"/>
  <c r="R16" i="880"/>
  <c r="Q16" i="880"/>
  <c r="P16" i="880"/>
  <c r="O16" i="880"/>
  <c r="N16" i="880"/>
  <c r="M16" i="880"/>
  <c r="L16" i="880"/>
  <c r="K16" i="880"/>
  <c r="J16" i="880"/>
  <c r="I16" i="880"/>
  <c r="H16" i="880"/>
  <c r="F16" i="880"/>
  <c r="E16" i="880"/>
  <c r="C16" i="880"/>
  <c r="H94" i="879"/>
  <c r="F94" i="879"/>
  <c r="D94" i="879"/>
  <c r="B94" i="879"/>
  <c r="K79" i="879"/>
  <c r="I79" i="879"/>
  <c r="E79" i="879"/>
  <c r="C79" i="879"/>
  <c r="A79" i="879"/>
  <c r="K78" i="879"/>
  <c r="I78" i="879"/>
  <c r="E78" i="879"/>
  <c r="C78" i="879"/>
  <c r="A78" i="879"/>
  <c r="K77" i="879"/>
  <c r="I77" i="879"/>
  <c r="E77" i="879"/>
  <c r="C77" i="879"/>
  <c r="A77" i="879"/>
  <c r="K76" i="879"/>
  <c r="I76" i="879"/>
  <c r="E76" i="879"/>
  <c r="C76" i="879"/>
  <c r="A76" i="879"/>
  <c r="K75" i="879"/>
  <c r="I75" i="879"/>
  <c r="E75" i="879"/>
  <c r="C75" i="879"/>
  <c r="A75" i="879"/>
  <c r="K74" i="879"/>
  <c r="I74" i="879"/>
  <c r="E74" i="879"/>
  <c r="C74" i="879"/>
  <c r="A74" i="879"/>
  <c r="K73" i="879"/>
  <c r="I73" i="879"/>
  <c r="E73" i="879"/>
  <c r="C73" i="879"/>
  <c r="A73" i="879"/>
  <c r="K72" i="879"/>
  <c r="I72" i="879"/>
  <c r="E72" i="879"/>
  <c r="C72" i="879"/>
  <c r="A72" i="879"/>
  <c r="K71" i="879"/>
  <c r="I71" i="879"/>
  <c r="E71" i="879"/>
  <c r="C71" i="879"/>
  <c r="A71" i="879"/>
  <c r="K70" i="879"/>
  <c r="I70" i="879"/>
  <c r="E70" i="879"/>
  <c r="C70" i="879"/>
  <c r="A70" i="879"/>
  <c r="K69" i="879"/>
  <c r="I69" i="879"/>
  <c r="E69" i="879"/>
  <c r="C69" i="879"/>
  <c r="A69" i="879"/>
  <c r="K68" i="879"/>
  <c r="I68" i="879"/>
  <c r="E68" i="879"/>
  <c r="C68" i="879"/>
  <c r="A68" i="879"/>
  <c r="AE65" i="879"/>
  <c r="AC65" i="879"/>
  <c r="AA65" i="879"/>
  <c r="Y65" i="879"/>
  <c r="V65" i="879"/>
  <c r="U65" i="879"/>
  <c r="T65" i="879"/>
  <c r="S65" i="879"/>
  <c r="Q65" i="879"/>
  <c r="P65" i="879"/>
  <c r="O65" i="879"/>
  <c r="N65" i="879"/>
  <c r="K65" i="879"/>
  <c r="I65" i="879"/>
  <c r="G65" i="879"/>
  <c r="E65" i="879"/>
  <c r="C65" i="879"/>
  <c r="A65" i="879"/>
  <c r="AE64" i="879"/>
  <c r="AC64" i="879"/>
  <c r="AA64" i="879"/>
  <c r="Y64" i="879"/>
  <c r="V64" i="879"/>
  <c r="U64" i="879"/>
  <c r="T64" i="879"/>
  <c r="S64" i="879"/>
  <c r="Q64" i="879"/>
  <c r="P64" i="879"/>
  <c r="O64" i="879"/>
  <c r="N64" i="879"/>
  <c r="K64" i="879"/>
  <c r="I64" i="879"/>
  <c r="G64" i="879"/>
  <c r="E64" i="879"/>
  <c r="C64" i="879"/>
  <c r="A64" i="879"/>
  <c r="AE63" i="879"/>
  <c r="AC63" i="879"/>
  <c r="AA63" i="879"/>
  <c r="Y63" i="879"/>
  <c r="V63" i="879"/>
  <c r="U63" i="879"/>
  <c r="T63" i="879"/>
  <c r="S63" i="879"/>
  <c r="Q63" i="879"/>
  <c r="P63" i="879"/>
  <c r="O63" i="879"/>
  <c r="N63" i="879"/>
  <c r="K63" i="879"/>
  <c r="I63" i="879"/>
  <c r="G63" i="879"/>
  <c r="E63" i="879"/>
  <c r="C63" i="879"/>
  <c r="A63" i="879"/>
  <c r="AE62" i="879"/>
  <c r="AC62" i="879"/>
  <c r="AA62" i="879"/>
  <c r="Y62" i="879"/>
  <c r="V62" i="879"/>
  <c r="U62" i="879"/>
  <c r="T62" i="879"/>
  <c r="S62" i="879"/>
  <c r="Q62" i="879"/>
  <c r="P62" i="879"/>
  <c r="O62" i="879"/>
  <c r="N62" i="879"/>
  <c r="K62" i="879"/>
  <c r="I62" i="879"/>
  <c r="G62" i="879"/>
  <c r="E62" i="879"/>
  <c r="C62" i="879"/>
  <c r="A62" i="879"/>
  <c r="AE61" i="879"/>
  <c r="AC61" i="879"/>
  <c r="AA61" i="879"/>
  <c r="Y61" i="879"/>
  <c r="V61" i="879"/>
  <c r="U61" i="879"/>
  <c r="T61" i="879"/>
  <c r="S61" i="879"/>
  <c r="Q61" i="879"/>
  <c r="P61" i="879"/>
  <c r="O61" i="879"/>
  <c r="N61" i="879"/>
  <c r="K61" i="879"/>
  <c r="I61" i="879"/>
  <c r="G61" i="879"/>
  <c r="E61" i="879"/>
  <c r="C61" i="879"/>
  <c r="A61" i="879"/>
  <c r="AE60" i="879"/>
  <c r="AC60" i="879"/>
  <c r="AA60" i="879"/>
  <c r="Y60" i="879"/>
  <c r="V60" i="879"/>
  <c r="U60" i="879"/>
  <c r="T60" i="879"/>
  <c r="S60" i="879"/>
  <c r="Q60" i="879"/>
  <c r="P60" i="879"/>
  <c r="O60" i="879"/>
  <c r="N60" i="879"/>
  <c r="K60" i="879"/>
  <c r="I60" i="879"/>
  <c r="G60" i="879"/>
  <c r="E60" i="879"/>
  <c r="C60" i="879"/>
  <c r="A60" i="879"/>
  <c r="AE59" i="879"/>
  <c r="AC59" i="879"/>
  <c r="AA59" i="879"/>
  <c r="Y59" i="879"/>
  <c r="V59" i="879"/>
  <c r="U59" i="879"/>
  <c r="T59" i="879"/>
  <c r="S59" i="879"/>
  <c r="Q59" i="879"/>
  <c r="P59" i="879"/>
  <c r="O59" i="879"/>
  <c r="N59" i="879"/>
  <c r="K59" i="879"/>
  <c r="I59" i="879"/>
  <c r="G59" i="879"/>
  <c r="E59" i="879"/>
  <c r="C59" i="879"/>
  <c r="A59" i="879"/>
  <c r="AE58" i="879"/>
  <c r="AC58" i="879"/>
  <c r="AA58" i="879"/>
  <c r="Y58" i="879"/>
  <c r="V58" i="879"/>
  <c r="U58" i="879"/>
  <c r="T58" i="879"/>
  <c r="S58" i="879"/>
  <c r="Q58" i="879"/>
  <c r="P58" i="879"/>
  <c r="O58" i="879"/>
  <c r="N58" i="879"/>
  <c r="K58" i="879"/>
  <c r="I58" i="879"/>
  <c r="G58" i="879"/>
  <c r="E58" i="879"/>
  <c r="C58" i="879"/>
  <c r="A58" i="879"/>
  <c r="AE57" i="879"/>
  <c r="AC57" i="879"/>
  <c r="AA57" i="879"/>
  <c r="Y57" i="879"/>
  <c r="V57" i="879"/>
  <c r="U57" i="879"/>
  <c r="T57" i="879"/>
  <c r="S57" i="879"/>
  <c r="Q57" i="879"/>
  <c r="P57" i="879"/>
  <c r="O57" i="879"/>
  <c r="N57" i="879"/>
  <c r="K57" i="879"/>
  <c r="I57" i="879"/>
  <c r="G57" i="879"/>
  <c r="E57" i="879"/>
  <c r="C57" i="879"/>
  <c r="A57" i="879"/>
  <c r="AE56" i="879"/>
  <c r="AC56" i="879"/>
  <c r="AA56" i="879"/>
  <c r="Y56" i="879"/>
  <c r="V56" i="879"/>
  <c r="U56" i="879"/>
  <c r="T56" i="879"/>
  <c r="S56" i="879"/>
  <c r="Q56" i="879"/>
  <c r="P56" i="879"/>
  <c r="O56" i="879"/>
  <c r="N56" i="879"/>
  <c r="K56" i="879"/>
  <c r="I56" i="879"/>
  <c r="G56" i="879"/>
  <c r="E56" i="879"/>
  <c r="C56" i="879"/>
  <c r="A56" i="879"/>
  <c r="AE55" i="879"/>
  <c r="AC55" i="879"/>
  <c r="AA55" i="879"/>
  <c r="Y55" i="879"/>
  <c r="V55" i="879"/>
  <c r="U55" i="879"/>
  <c r="T55" i="879"/>
  <c r="S55" i="879"/>
  <c r="Q55" i="879"/>
  <c r="P55" i="879"/>
  <c r="O55" i="879"/>
  <c r="N55" i="879"/>
  <c r="K55" i="879"/>
  <c r="I55" i="879"/>
  <c r="G55" i="879"/>
  <c r="E55" i="879"/>
  <c r="C55" i="879"/>
  <c r="A55" i="879"/>
  <c r="AE54" i="879"/>
  <c r="AC54" i="879"/>
  <c r="AA54" i="879"/>
  <c r="Y54" i="879"/>
  <c r="V54" i="879"/>
  <c r="U54" i="879"/>
  <c r="T54" i="879"/>
  <c r="S54" i="879"/>
  <c r="Q54" i="879"/>
  <c r="P54" i="879"/>
  <c r="O54" i="879"/>
  <c r="N54" i="879"/>
  <c r="K54" i="879"/>
  <c r="I54" i="879"/>
  <c r="G54" i="879"/>
  <c r="E54" i="879"/>
  <c r="C54" i="879"/>
  <c r="A54" i="879"/>
  <c r="T27" i="879"/>
  <c r="AF8" i="258"/>
  <c r="S27" i="879"/>
  <c r="AE8" i="258"/>
  <c r="A19" i="879"/>
  <c r="T20" i="879"/>
  <c r="Y16" i="879"/>
  <c r="X16" i="879"/>
  <c r="AG8" i="258"/>
  <c r="W16" i="879"/>
  <c r="V16" i="879"/>
  <c r="AA8" i="258"/>
  <c r="U16" i="879"/>
  <c r="S16" i="879"/>
  <c r="S20" i="879"/>
  <c r="X8" i="258"/>
  <c r="R16" i="879"/>
  <c r="Q16" i="879"/>
  <c r="P16" i="879"/>
  <c r="O16" i="879"/>
  <c r="N16" i="879"/>
  <c r="M16" i="879"/>
  <c r="L16" i="879"/>
  <c r="K16" i="879"/>
  <c r="J16" i="879"/>
  <c r="I16" i="879"/>
  <c r="H16" i="879"/>
  <c r="F16" i="879"/>
  <c r="E16" i="879"/>
  <c r="C16" i="879"/>
  <c r="H94" i="878"/>
  <c r="F94" i="878"/>
  <c r="D94" i="878"/>
  <c r="B94" i="878"/>
  <c r="K79" i="878"/>
  <c r="I79" i="878"/>
  <c r="E79" i="878"/>
  <c r="C79" i="878"/>
  <c r="A79" i="878"/>
  <c r="K78" i="878"/>
  <c r="I78" i="878"/>
  <c r="E78" i="878"/>
  <c r="C78" i="878"/>
  <c r="A78" i="878"/>
  <c r="K77" i="878"/>
  <c r="I77" i="878"/>
  <c r="E77" i="878"/>
  <c r="C77" i="878"/>
  <c r="A77" i="878"/>
  <c r="K76" i="878"/>
  <c r="I76" i="878"/>
  <c r="E76" i="878"/>
  <c r="C76" i="878"/>
  <c r="A76" i="878"/>
  <c r="K75" i="878"/>
  <c r="I75" i="878"/>
  <c r="E75" i="878"/>
  <c r="C75" i="878"/>
  <c r="A75" i="878"/>
  <c r="K74" i="878"/>
  <c r="I74" i="878"/>
  <c r="E74" i="878"/>
  <c r="C74" i="878"/>
  <c r="A74" i="878"/>
  <c r="K73" i="878"/>
  <c r="I73" i="878"/>
  <c r="E73" i="878"/>
  <c r="C73" i="878"/>
  <c r="A73" i="878"/>
  <c r="K72" i="878"/>
  <c r="I72" i="878"/>
  <c r="E72" i="878"/>
  <c r="C72" i="878"/>
  <c r="A72" i="878"/>
  <c r="K71" i="878"/>
  <c r="I71" i="878"/>
  <c r="E71" i="878"/>
  <c r="C71" i="878"/>
  <c r="A71" i="878"/>
  <c r="K70" i="878"/>
  <c r="I70" i="878"/>
  <c r="E70" i="878"/>
  <c r="C70" i="878"/>
  <c r="A70" i="878"/>
  <c r="K69" i="878"/>
  <c r="I69" i="878"/>
  <c r="E69" i="878"/>
  <c r="C69" i="878"/>
  <c r="A69" i="878"/>
  <c r="K68" i="878"/>
  <c r="I68" i="878"/>
  <c r="E68" i="878"/>
  <c r="C68" i="878"/>
  <c r="A68" i="878"/>
  <c r="AE65" i="878"/>
  <c r="AC65" i="878"/>
  <c r="AA65" i="878"/>
  <c r="Y65" i="878"/>
  <c r="V65" i="878"/>
  <c r="U65" i="878"/>
  <c r="T65" i="878"/>
  <c r="S65" i="878"/>
  <c r="Q65" i="878"/>
  <c r="P65" i="878"/>
  <c r="O65" i="878"/>
  <c r="N65" i="878"/>
  <c r="K65" i="878"/>
  <c r="I65" i="878"/>
  <c r="G65" i="878"/>
  <c r="E65" i="878"/>
  <c r="C65" i="878"/>
  <c r="A65" i="878"/>
  <c r="AE64" i="878"/>
  <c r="AC64" i="878"/>
  <c r="AA64" i="878"/>
  <c r="Y64" i="878"/>
  <c r="V64" i="878"/>
  <c r="U64" i="878"/>
  <c r="T64" i="878"/>
  <c r="S64" i="878"/>
  <c r="Q64" i="878"/>
  <c r="P64" i="878"/>
  <c r="O64" i="878"/>
  <c r="N64" i="878"/>
  <c r="K64" i="878"/>
  <c r="I64" i="878"/>
  <c r="G64" i="878"/>
  <c r="E64" i="878"/>
  <c r="C64" i="878"/>
  <c r="A64" i="878"/>
  <c r="AE63" i="878"/>
  <c r="AC63" i="878"/>
  <c r="AA63" i="878"/>
  <c r="Y63" i="878"/>
  <c r="V63" i="878"/>
  <c r="U63" i="878"/>
  <c r="T63" i="878"/>
  <c r="S63" i="878"/>
  <c r="Q63" i="878"/>
  <c r="P63" i="878"/>
  <c r="O63" i="878"/>
  <c r="N63" i="878"/>
  <c r="K63" i="878"/>
  <c r="I63" i="878"/>
  <c r="G63" i="878"/>
  <c r="E63" i="878"/>
  <c r="C63" i="878"/>
  <c r="A63" i="878"/>
  <c r="AE62" i="878"/>
  <c r="AC62" i="878"/>
  <c r="AA62" i="878"/>
  <c r="Y62" i="878"/>
  <c r="V62" i="878"/>
  <c r="U62" i="878"/>
  <c r="T62" i="878"/>
  <c r="S62" i="878"/>
  <c r="Q62" i="878"/>
  <c r="P62" i="878"/>
  <c r="O62" i="878"/>
  <c r="N62" i="878"/>
  <c r="K62" i="878"/>
  <c r="I62" i="878"/>
  <c r="G62" i="878"/>
  <c r="E62" i="878"/>
  <c r="C62" i="878"/>
  <c r="A62" i="878"/>
  <c r="AE61" i="878"/>
  <c r="AC61" i="878"/>
  <c r="AA61" i="878"/>
  <c r="Y61" i="878"/>
  <c r="V61" i="878"/>
  <c r="U61" i="878"/>
  <c r="T61" i="878"/>
  <c r="S61" i="878"/>
  <c r="Q61" i="878"/>
  <c r="P61" i="878"/>
  <c r="O61" i="878"/>
  <c r="N61" i="878"/>
  <c r="K61" i="878"/>
  <c r="I61" i="878"/>
  <c r="G61" i="878"/>
  <c r="E61" i="878"/>
  <c r="C61" i="878"/>
  <c r="A61" i="878"/>
  <c r="AE60" i="878"/>
  <c r="AC60" i="878"/>
  <c r="AA60" i="878"/>
  <c r="Y60" i="878"/>
  <c r="V60" i="878"/>
  <c r="U60" i="878"/>
  <c r="T60" i="878"/>
  <c r="S60" i="878"/>
  <c r="Q60" i="878"/>
  <c r="P60" i="878"/>
  <c r="O60" i="878"/>
  <c r="N60" i="878"/>
  <c r="K60" i="878"/>
  <c r="I60" i="878"/>
  <c r="G60" i="878"/>
  <c r="E60" i="878"/>
  <c r="C60" i="878"/>
  <c r="A60" i="878"/>
  <c r="AE59" i="878"/>
  <c r="AC59" i="878"/>
  <c r="AA59" i="878"/>
  <c r="Y59" i="878"/>
  <c r="V59" i="878"/>
  <c r="U59" i="878"/>
  <c r="T59" i="878"/>
  <c r="S59" i="878"/>
  <c r="Q59" i="878"/>
  <c r="P59" i="878"/>
  <c r="O59" i="878"/>
  <c r="N59" i="878"/>
  <c r="K59" i="878"/>
  <c r="I59" i="878"/>
  <c r="G59" i="878"/>
  <c r="E59" i="878"/>
  <c r="C59" i="878"/>
  <c r="A59" i="878"/>
  <c r="AE58" i="878"/>
  <c r="AC58" i="878"/>
  <c r="AA58" i="878"/>
  <c r="Y58" i="878"/>
  <c r="V58" i="878"/>
  <c r="U58" i="878"/>
  <c r="T58" i="878"/>
  <c r="S58" i="878"/>
  <c r="Q58" i="878"/>
  <c r="P58" i="878"/>
  <c r="O58" i="878"/>
  <c r="N58" i="878"/>
  <c r="K58" i="878"/>
  <c r="I58" i="878"/>
  <c r="G58" i="878"/>
  <c r="E58" i="878"/>
  <c r="C58" i="878"/>
  <c r="A58" i="878"/>
  <c r="AE57" i="878"/>
  <c r="AC57" i="878"/>
  <c r="AA57" i="878"/>
  <c r="Y57" i="878"/>
  <c r="V57" i="878"/>
  <c r="U57" i="878"/>
  <c r="T57" i="878"/>
  <c r="S57" i="878"/>
  <c r="Q57" i="878"/>
  <c r="P57" i="878"/>
  <c r="O57" i="878"/>
  <c r="N57" i="878"/>
  <c r="K57" i="878"/>
  <c r="I57" i="878"/>
  <c r="G57" i="878"/>
  <c r="E57" i="878"/>
  <c r="C57" i="878"/>
  <c r="A57" i="878"/>
  <c r="AE56" i="878"/>
  <c r="AC56" i="878"/>
  <c r="AA56" i="878"/>
  <c r="Y56" i="878"/>
  <c r="V56" i="878"/>
  <c r="U56" i="878"/>
  <c r="T56" i="878"/>
  <c r="S56" i="878"/>
  <c r="Q56" i="878"/>
  <c r="P56" i="878"/>
  <c r="O56" i="878"/>
  <c r="N56" i="878"/>
  <c r="K56" i="878"/>
  <c r="I56" i="878"/>
  <c r="G56" i="878"/>
  <c r="E56" i="878"/>
  <c r="C56" i="878"/>
  <c r="A56" i="878"/>
  <c r="AE55" i="878"/>
  <c r="AC55" i="878"/>
  <c r="AA55" i="878"/>
  <c r="Y55" i="878"/>
  <c r="V55" i="878"/>
  <c r="U55" i="878"/>
  <c r="T55" i="878"/>
  <c r="S55" i="878"/>
  <c r="Q55" i="878"/>
  <c r="P55" i="878"/>
  <c r="O55" i="878"/>
  <c r="N55" i="878"/>
  <c r="K55" i="878"/>
  <c r="I55" i="878"/>
  <c r="G55" i="878"/>
  <c r="E55" i="878"/>
  <c r="C55" i="878"/>
  <c r="A55" i="878"/>
  <c r="AE54" i="878"/>
  <c r="AC54" i="878"/>
  <c r="AA54" i="878"/>
  <c r="AA66" i="878"/>
  <c r="Y54" i="878"/>
  <c r="Y66" i="878"/>
  <c r="V54" i="878"/>
  <c r="U54" i="878"/>
  <c r="T54" i="878"/>
  <c r="S54" i="878"/>
  <c r="Q54" i="878"/>
  <c r="P54" i="878"/>
  <c r="O54" i="878"/>
  <c r="N54" i="878"/>
  <c r="K54" i="878"/>
  <c r="I54" i="878"/>
  <c r="G54" i="878"/>
  <c r="J37" i="878"/>
  <c r="S9" i="258"/>
  <c r="E54" i="878"/>
  <c r="C54" i="878"/>
  <c r="A54" i="878"/>
  <c r="T27" i="878"/>
  <c r="AF9" i="258"/>
  <c r="S27" i="878"/>
  <c r="AE9" i="258"/>
  <c r="A19" i="878"/>
  <c r="T20" i="878"/>
  <c r="Y16" i="878"/>
  <c r="X16" i="878"/>
  <c r="AG9" i="258"/>
  <c r="W16" i="878"/>
  <c r="V16" i="878"/>
  <c r="AA9" i="258"/>
  <c r="U16" i="878"/>
  <c r="S16" i="878"/>
  <c r="S20" i="878"/>
  <c r="X9" i="258"/>
  <c r="R16" i="878"/>
  <c r="Q16" i="878"/>
  <c r="P16" i="878"/>
  <c r="O16" i="878"/>
  <c r="N16" i="878"/>
  <c r="M16" i="878"/>
  <c r="L16" i="878"/>
  <c r="K16" i="878"/>
  <c r="J16" i="878"/>
  <c r="I16" i="878"/>
  <c r="H16" i="878"/>
  <c r="F16" i="878"/>
  <c r="E16" i="878"/>
  <c r="C16" i="878"/>
  <c r="H94" i="877"/>
  <c r="F94" i="877"/>
  <c r="D94" i="877"/>
  <c r="B94" i="877"/>
  <c r="K79" i="877"/>
  <c r="I79" i="877"/>
  <c r="E79" i="877"/>
  <c r="C79" i="877"/>
  <c r="A79" i="877"/>
  <c r="K78" i="877"/>
  <c r="I78" i="877"/>
  <c r="E78" i="877"/>
  <c r="C78" i="877"/>
  <c r="A78" i="877"/>
  <c r="K77" i="877"/>
  <c r="I77" i="877"/>
  <c r="E77" i="877"/>
  <c r="C77" i="877"/>
  <c r="A77" i="877"/>
  <c r="K76" i="877"/>
  <c r="I76" i="877"/>
  <c r="E76" i="877"/>
  <c r="C76" i="877"/>
  <c r="A76" i="877"/>
  <c r="K75" i="877"/>
  <c r="I75" i="877"/>
  <c r="E75" i="877"/>
  <c r="C75" i="877"/>
  <c r="A75" i="877"/>
  <c r="K74" i="877"/>
  <c r="I74" i="877"/>
  <c r="E74" i="877"/>
  <c r="C74" i="877"/>
  <c r="A74" i="877"/>
  <c r="K73" i="877"/>
  <c r="I73" i="877"/>
  <c r="E73" i="877"/>
  <c r="C73" i="877"/>
  <c r="A73" i="877"/>
  <c r="K72" i="877"/>
  <c r="I72" i="877"/>
  <c r="E72" i="877"/>
  <c r="C72" i="877"/>
  <c r="A72" i="877"/>
  <c r="K71" i="877"/>
  <c r="I71" i="877"/>
  <c r="E71" i="877"/>
  <c r="C71" i="877"/>
  <c r="A71" i="877"/>
  <c r="K70" i="877"/>
  <c r="I70" i="877"/>
  <c r="E70" i="877"/>
  <c r="C70" i="877"/>
  <c r="A70" i="877"/>
  <c r="K69" i="877"/>
  <c r="I69" i="877"/>
  <c r="E69" i="877"/>
  <c r="C69" i="877"/>
  <c r="A69" i="877"/>
  <c r="K68" i="877"/>
  <c r="I68" i="877"/>
  <c r="E68" i="877"/>
  <c r="C68" i="877"/>
  <c r="A68" i="877"/>
  <c r="AE65" i="877"/>
  <c r="AC65" i="877"/>
  <c r="AA65" i="877"/>
  <c r="Y65" i="877"/>
  <c r="V65" i="877"/>
  <c r="U65" i="877"/>
  <c r="T65" i="877"/>
  <c r="S65" i="877"/>
  <c r="Q65" i="877"/>
  <c r="P65" i="877"/>
  <c r="O65" i="877"/>
  <c r="N65" i="877"/>
  <c r="K65" i="877"/>
  <c r="I65" i="877"/>
  <c r="G65" i="877"/>
  <c r="E65" i="877"/>
  <c r="C65" i="877"/>
  <c r="A65" i="877"/>
  <c r="AE64" i="877"/>
  <c r="AC64" i="877"/>
  <c r="AA64" i="877"/>
  <c r="Y64" i="877"/>
  <c r="V64" i="877"/>
  <c r="U64" i="877"/>
  <c r="T64" i="877"/>
  <c r="S64" i="877"/>
  <c r="Q64" i="877"/>
  <c r="P64" i="877"/>
  <c r="O64" i="877"/>
  <c r="N64" i="877"/>
  <c r="K64" i="877"/>
  <c r="I64" i="877"/>
  <c r="G64" i="877"/>
  <c r="E64" i="877"/>
  <c r="C64" i="877"/>
  <c r="A64" i="877"/>
  <c r="AE63" i="877"/>
  <c r="AC63" i="877"/>
  <c r="AA63" i="877"/>
  <c r="Y63" i="877"/>
  <c r="V63" i="877"/>
  <c r="U63" i="877"/>
  <c r="T63" i="877"/>
  <c r="S63" i="877"/>
  <c r="Q63" i="877"/>
  <c r="P63" i="877"/>
  <c r="O63" i="877"/>
  <c r="N63" i="877"/>
  <c r="K63" i="877"/>
  <c r="I63" i="877"/>
  <c r="G63" i="877"/>
  <c r="E63" i="877"/>
  <c r="C63" i="877"/>
  <c r="A63" i="877"/>
  <c r="AE62" i="877"/>
  <c r="AC62" i="877"/>
  <c r="AA62" i="877"/>
  <c r="Y62" i="877"/>
  <c r="V62" i="877"/>
  <c r="U62" i="877"/>
  <c r="T62" i="877"/>
  <c r="S62" i="877"/>
  <c r="Q62" i="877"/>
  <c r="P62" i="877"/>
  <c r="O62" i="877"/>
  <c r="N62" i="877"/>
  <c r="K62" i="877"/>
  <c r="I62" i="877"/>
  <c r="G62" i="877"/>
  <c r="E62" i="877"/>
  <c r="C62" i="877"/>
  <c r="A62" i="877"/>
  <c r="AE61" i="877"/>
  <c r="AC61" i="877"/>
  <c r="AA61" i="877"/>
  <c r="Y61" i="877"/>
  <c r="V61" i="877"/>
  <c r="U61" i="877"/>
  <c r="T61" i="877"/>
  <c r="S61" i="877"/>
  <c r="Q61" i="877"/>
  <c r="P61" i="877"/>
  <c r="O61" i="877"/>
  <c r="N61" i="877"/>
  <c r="K61" i="877"/>
  <c r="I61" i="877"/>
  <c r="G61" i="877"/>
  <c r="E61" i="877"/>
  <c r="C61" i="877"/>
  <c r="A61" i="877"/>
  <c r="AE60" i="877"/>
  <c r="AC60" i="877"/>
  <c r="AA60" i="877"/>
  <c r="Y60" i="877"/>
  <c r="V60" i="877"/>
  <c r="U60" i="877"/>
  <c r="T60" i="877"/>
  <c r="S60" i="877"/>
  <c r="Q60" i="877"/>
  <c r="P60" i="877"/>
  <c r="O60" i="877"/>
  <c r="N60" i="877"/>
  <c r="K60" i="877"/>
  <c r="I60" i="877"/>
  <c r="G60" i="877"/>
  <c r="E60" i="877"/>
  <c r="C60" i="877"/>
  <c r="A60" i="877"/>
  <c r="AE59" i="877"/>
  <c r="AC59" i="877"/>
  <c r="AA59" i="877"/>
  <c r="Y59" i="877"/>
  <c r="V59" i="877"/>
  <c r="U59" i="877"/>
  <c r="T59" i="877"/>
  <c r="S59" i="877"/>
  <c r="Q59" i="877"/>
  <c r="P59" i="877"/>
  <c r="O59" i="877"/>
  <c r="N59" i="877"/>
  <c r="K59" i="877"/>
  <c r="I59" i="877"/>
  <c r="G59" i="877"/>
  <c r="E59" i="877"/>
  <c r="C59" i="877"/>
  <c r="A59" i="877"/>
  <c r="AE58" i="877"/>
  <c r="AC58" i="877"/>
  <c r="AA58" i="877"/>
  <c r="Y58" i="877"/>
  <c r="V58" i="877"/>
  <c r="U58" i="877"/>
  <c r="T58" i="877"/>
  <c r="S58" i="877"/>
  <c r="Q58" i="877"/>
  <c r="P58" i="877"/>
  <c r="O58" i="877"/>
  <c r="N58" i="877"/>
  <c r="K58" i="877"/>
  <c r="I58" i="877"/>
  <c r="G58" i="877"/>
  <c r="E58" i="877"/>
  <c r="C58" i="877"/>
  <c r="A58" i="877"/>
  <c r="AE57" i="877"/>
  <c r="AC57" i="877"/>
  <c r="AA57" i="877"/>
  <c r="Y57" i="877"/>
  <c r="V57" i="877"/>
  <c r="U57" i="877"/>
  <c r="T57" i="877"/>
  <c r="S57" i="877"/>
  <c r="Q57" i="877"/>
  <c r="P57" i="877"/>
  <c r="O57" i="877"/>
  <c r="N57" i="877"/>
  <c r="K57" i="877"/>
  <c r="I57" i="877"/>
  <c r="G57" i="877"/>
  <c r="E57" i="877"/>
  <c r="C57" i="877"/>
  <c r="A57" i="877"/>
  <c r="AE56" i="877"/>
  <c r="AC56" i="877"/>
  <c r="AA56" i="877"/>
  <c r="Y56" i="877"/>
  <c r="V56" i="877"/>
  <c r="U56" i="877"/>
  <c r="T56" i="877"/>
  <c r="S56" i="877"/>
  <c r="Q56" i="877"/>
  <c r="P56" i="877"/>
  <c r="O56" i="877"/>
  <c r="N56" i="877"/>
  <c r="K56" i="877"/>
  <c r="I56" i="877"/>
  <c r="G56" i="877"/>
  <c r="E56" i="877"/>
  <c r="C56" i="877"/>
  <c r="A56" i="877"/>
  <c r="AE55" i="877"/>
  <c r="AC55" i="877"/>
  <c r="AA55" i="877"/>
  <c r="Y55" i="877"/>
  <c r="V55" i="877"/>
  <c r="U55" i="877"/>
  <c r="T55" i="877"/>
  <c r="S55" i="877"/>
  <c r="Q55" i="877"/>
  <c r="P55" i="877"/>
  <c r="O55" i="877"/>
  <c r="N55" i="877"/>
  <c r="K55" i="877"/>
  <c r="I55" i="877"/>
  <c r="G55" i="877"/>
  <c r="E55" i="877"/>
  <c r="C55" i="877"/>
  <c r="A55" i="877"/>
  <c r="AE54" i="877"/>
  <c r="AC54" i="877"/>
  <c r="AA54" i="877"/>
  <c r="Y54" i="877"/>
  <c r="V54" i="877"/>
  <c r="U54" i="877"/>
  <c r="T54" i="877"/>
  <c r="S54" i="877"/>
  <c r="S66" i="877"/>
  <c r="Q54" i="877"/>
  <c r="P54" i="877"/>
  <c r="O54" i="877"/>
  <c r="N54" i="877"/>
  <c r="K54" i="877"/>
  <c r="I54" i="877"/>
  <c r="G54" i="877"/>
  <c r="E54" i="877"/>
  <c r="C54" i="877"/>
  <c r="A54" i="877"/>
  <c r="T27" i="877"/>
  <c r="AF10" i="258"/>
  <c r="S27" i="877"/>
  <c r="AE10" i="258"/>
  <c r="A19" i="877"/>
  <c r="T20" i="877"/>
  <c r="Y16" i="877"/>
  <c r="X16" i="877"/>
  <c r="AG10" i="258"/>
  <c r="W16" i="877"/>
  <c r="V16" i="877"/>
  <c r="U16" i="877"/>
  <c r="S16" i="877"/>
  <c r="S20" i="877"/>
  <c r="X10" i="258"/>
  <c r="R16" i="877"/>
  <c r="Q16" i="877"/>
  <c r="P16" i="877"/>
  <c r="O16" i="877"/>
  <c r="N16" i="877"/>
  <c r="M16" i="877"/>
  <c r="L16" i="877"/>
  <c r="K16" i="877"/>
  <c r="J16" i="877"/>
  <c r="I16" i="877"/>
  <c r="H16" i="877"/>
  <c r="F16" i="877"/>
  <c r="E16" i="877"/>
  <c r="C16" i="877"/>
  <c r="H94" i="876"/>
  <c r="F94" i="876"/>
  <c r="D94" i="876"/>
  <c r="B94" i="876"/>
  <c r="K79" i="876"/>
  <c r="I79" i="876"/>
  <c r="E79" i="876"/>
  <c r="C79" i="876"/>
  <c r="A79" i="876"/>
  <c r="K78" i="876"/>
  <c r="I78" i="876"/>
  <c r="E78" i="876"/>
  <c r="C78" i="876"/>
  <c r="A78" i="876"/>
  <c r="K77" i="876"/>
  <c r="I77" i="876"/>
  <c r="E77" i="876"/>
  <c r="C77" i="876"/>
  <c r="A77" i="876"/>
  <c r="K76" i="876"/>
  <c r="I76" i="876"/>
  <c r="E76" i="876"/>
  <c r="C76" i="876"/>
  <c r="A76" i="876"/>
  <c r="K75" i="876"/>
  <c r="I75" i="876"/>
  <c r="E75" i="876"/>
  <c r="C75" i="876"/>
  <c r="A75" i="876"/>
  <c r="K74" i="876"/>
  <c r="I74" i="876"/>
  <c r="E74" i="876"/>
  <c r="C74" i="876"/>
  <c r="A74" i="876"/>
  <c r="K73" i="876"/>
  <c r="I73" i="876"/>
  <c r="E73" i="876"/>
  <c r="C73" i="876"/>
  <c r="A73" i="876"/>
  <c r="K72" i="876"/>
  <c r="I72" i="876"/>
  <c r="E72" i="876"/>
  <c r="C72" i="876"/>
  <c r="A72" i="876"/>
  <c r="K71" i="876"/>
  <c r="I71" i="876"/>
  <c r="E71" i="876"/>
  <c r="C71" i="876"/>
  <c r="A71" i="876"/>
  <c r="K70" i="876"/>
  <c r="I70" i="876"/>
  <c r="E70" i="876"/>
  <c r="C70" i="876"/>
  <c r="A70" i="876"/>
  <c r="K69" i="876"/>
  <c r="I69" i="876"/>
  <c r="E69" i="876"/>
  <c r="C69" i="876"/>
  <c r="A69" i="876"/>
  <c r="K68" i="876"/>
  <c r="I68" i="876"/>
  <c r="E68" i="876"/>
  <c r="C68" i="876"/>
  <c r="A68" i="876"/>
  <c r="AE65" i="876"/>
  <c r="AC65" i="876"/>
  <c r="AA65" i="876"/>
  <c r="Y65" i="876"/>
  <c r="V65" i="876"/>
  <c r="U65" i="876"/>
  <c r="T65" i="876"/>
  <c r="S65" i="876"/>
  <c r="Q65" i="876"/>
  <c r="P65" i="876"/>
  <c r="O65" i="876"/>
  <c r="N65" i="876"/>
  <c r="K65" i="876"/>
  <c r="I65" i="876"/>
  <c r="G65" i="876"/>
  <c r="E65" i="876"/>
  <c r="C65" i="876"/>
  <c r="A65" i="876"/>
  <c r="AE64" i="876"/>
  <c r="AC64" i="876"/>
  <c r="AA64" i="876"/>
  <c r="Y64" i="876"/>
  <c r="V64" i="876"/>
  <c r="U64" i="876"/>
  <c r="T64" i="876"/>
  <c r="S64" i="876"/>
  <c r="Q64" i="876"/>
  <c r="P64" i="876"/>
  <c r="O64" i="876"/>
  <c r="N64" i="876"/>
  <c r="K64" i="876"/>
  <c r="I64" i="876"/>
  <c r="G64" i="876"/>
  <c r="E64" i="876"/>
  <c r="C64" i="876"/>
  <c r="A64" i="876"/>
  <c r="AE63" i="876"/>
  <c r="AC63" i="876"/>
  <c r="AA63" i="876"/>
  <c r="Y63" i="876"/>
  <c r="V63" i="876"/>
  <c r="U63" i="876"/>
  <c r="T63" i="876"/>
  <c r="S63" i="876"/>
  <c r="Q63" i="876"/>
  <c r="P63" i="876"/>
  <c r="O63" i="876"/>
  <c r="N63" i="876"/>
  <c r="K63" i="876"/>
  <c r="I63" i="876"/>
  <c r="G63" i="876"/>
  <c r="E63" i="876"/>
  <c r="C63" i="876"/>
  <c r="A63" i="876"/>
  <c r="AE62" i="876"/>
  <c r="AC62" i="876"/>
  <c r="AA62" i="876"/>
  <c r="Y62" i="876"/>
  <c r="V62" i="876"/>
  <c r="U62" i="876"/>
  <c r="T62" i="876"/>
  <c r="S62" i="876"/>
  <c r="Q62" i="876"/>
  <c r="P62" i="876"/>
  <c r="O62" i="876"/>
  <c r="N62" i="876"/>
  <c r="K62" i="876"/>
  <c r="I62" i="876"/>
  <c r="G62" i="876"/>
  <c r="E62" i="876"/>
  <c r="C62" i="876"/>
  <c r="A62" i="876"/>
  <c r="AE61" i="876"/>
  <c r="AC61" i="876"/>
  <c r="AA61" i="876"/>
  <c r="Y61" i="876"/>
  <c r="V61" i="876"/>
  <c r="U61" i="876"/>
  <c r="T61" i="876"/>
  <c r="S61" i="876"/>
  <c r="Q61" i="876"/>
  <c r="P61" i="876"/>
  <c r="O61" i="876"/>
  <c r="N61" i="876"/>
  <c r="K61" i="876"/>
  <c r="I61" i="876"/>
  <c r="G61" i="876"/>
  <c r="E61" i="876"/>
  <c r="C61" i="876"/>
  <c r="A61" i="876"/>
  <c r="AE60" i="876"/>
  <c r="AC60" i="876"/>
  <c r="AA60" i="876"/>
  <c r="Y60" i="876"/>
  <c r="V60" i="876"/>
  <c r="U60" i="876"/>
  <c r="T60" i="876"/>
  <c r="S60" i="876"/>
  <c r="Q60" i="876"/>
  <c r="P60" i="876"/>
  <c r="O60" i="876"/>
  <c r="N60" i="876"/>
  <c r="K60" i="876"/>
  <c r="I60" i="876"/>
  <c r="G60" i="876"/>
  <c r="E60" i="876"/>
  <c r="C60" i="876"/>
  <c r="A60" i="876"/>
  <c r="K24" i="876"/>
  <c r="L11" i="257"/>
  <c r="AE59" i="876"/>
  <c r="AC59" i="876"/>
  <c r="AA59" i="876"/>
  <c r="Y59" i="876"/>
  <c r="V59" i="876"/>
  <c r="U59" i="876"/>
  <c r="T59" i="876"/>
  <c r="S59" i="876"/>
  <c r="Q59" i="876"/>
  <c r="P59" i="876"/>
  <c r="O59" i="876"/>
  <c r="N59" i="876"/>
  <c r="K59" i="876"/>
  <c r="I59" i="876"/>
  <c r="G59" i="876"/>
  <c r="E59" i="876"/>
  <c r="C59" i="876"/>
  <c r="A59" i="876"/>
  <c r="AE58" i="876"/>
  <c r="AC58" i="876"/>
  <c r="AA58" i="876"/>
  <c r="Y58" i="876"/>
  <c r="V58" i="876"/>
  <c r="U58" i="876"/>
  <c r="T58" i="876"/>
  <c r="S58" i="876"/>
  <c r="Q58" i="876"/>
  <c r="P58" i="876"/>
  <c r="O58" i="876"/>
  <c r="N58" i="876"/>
  <c r="K58" i="876"/>
  <c r="I58" i="876"/>
  <c r="G58" i="876"/>
  <c r="E58" i="876"/>
  <c r="C58" i="876"/>
  <c r="A58" i="876"/>
  <c r="AE57" i="876"/>
  <c r="AC57" i="876"/>
  <c r="AA57" i="876"/>
  <c r="Y57" i="876"/>
  <c r="V57" i="876"/>
  <c r="U57" i="876"/>
  <c r="T57" i="876"/>
  <c r="S57" i="876"/>
  <c r="Q57" i="876"/>
  <c r="P57" i="876"/>
  <c r="O57" i="876"/>
  <c r="N57" i="876"/>
  <c r="K57" i="876"/>
  <c r="I57" i="876"/>
  <c r="G57" i="876"/>
  <c r="E57" i="876"/>
  <c r="C57" i="876"/>
  <c r="A57" i="876"/>
  <c r="AE56" i="876"/>
  <c r="AC56" i="876"/>
  <c r="AA56" i="876"/>
  <c r="Y56" i="876"/>
  <c r="V56" i="876"/>
  <c r="U56" i="876"/>
  <c r="T56" i="876"/>
  <c r="S56" i="876"/>
  <c r="Q56" i="876"/>
  <c r="P56" i="876"/>
  <c r="O56" i="876"/>
  <c r="N56" i="876"/>
  <c r="K56" i="876"/>
  <c r="I56" i="876"/>
  <c r="G56" i="876"/>
  <c r="E56" i="876"/>
  <c r="C56" i="876"/>
  <c r="A56" i="876"/>
  <c r="AE55" i="876"/>
  <c r="AC55" i="876"/>
  <c r="AA55" i="876"/>
  <c r="Y55" i="876"/>
  <c r="V55" i="876"/>
  <c r="U55" i="876"/>
  <c r="T55" i="876"/>
  <c r="S55" i="876"/>
  <c r="Q55" i="876"/>
  <c r="P55" i="876"/>
  <c r="O55" i="876"/>
  <c r="N55" i="876"/>
  <c r="K55" i="876"/>
  <c r="I55" i="876"/>
  <c r="G55" i="876"/>
  <c r="E55" i="876"/>
  <c r="J34" i="876"/>
  <c r="Q11" i="258"/>
  <c r="C55" i="876"/>
  <c r="A55" i="876"/>
  <c r="AE54" i="876"/>
  <c r="AC54" i="876"/>
  <c r="AA54" i="876"/>
  <c r="Y54" i="876"/>
  <c r="V54" i="876"/>
  <c r="U54" i="876"/>
  <c r="U66" i="876"/>
  <c r="T54" i="876"/>
  <c r="S54" i="876"/>
  <c r="Q54" i="876"/>
  <c r="P54" i="876"/>
  <c r="O54" i="876"/>
  <c r="N54" i="876"/>
  <c r="K54" i="876"/>
  <c r="I54" i="876"/>
  <c r="G54" i="876"/>
  <c r="J37" i="876"/>
  <c r="S11" i="258"/>
  <c r="E54" i="876"/>
  <c r="C54" i="876"/>
  <c r="A54" i="876"/>
  <c r="I24" i="876"/>
  <c r="G11" i="258"/>
  <c r="T27" i="876"/>
  <c r="AF11" i="258"/>
  <c r="S27" i="876"/>
  <c r="AE11" i="258"/>
  <c r="A19" i="876"/>
  <c r="T20" i="876"/>
  <c r="Y16" i="876"/>
  <c r="X16" i="876"/>
  <c r="AG11" i="258"/>
  <c r="W16" i="876"/>
  <c r="V16" i="876"/>
  <c r="U16" i="876"/>
  <c r="S16" i="876"/>
  <c r="S20" i="876"/>
  <c r="X11" i="258"/>
  <c r="R16" i="876"/>
  <c r="Q16" i="876"/>
  <c r="P16" i="876"/>
  <c r="O16" i="876"/>
  <c r="N16" i="876"/>
  <c r="M16" i="876"/>
  <c r="L16" i="876"/>
  <c r="K16" i="876"/>
  <c r="J16" i="876"/>
  <c r="I16" i="876"/>
  <c r="H16" i="876"/>
  <c r="F16" i="876"/>
  <c r="E16" i="876"/>
  <c r="C16" i="876"/>
  <c r="H94" i="875"/>
  <c r="F94" i="875"/>
  <c r="D94" i="875"/>
  <c r="B94" i="875"/>
  <c r="K79" i="875"/>
  <c r="I79" i="875"/>
  <c r="E79" i="875"/>
  <c r="C79" i="875"/>
  <c r="A79" i="875"/>
  <c r="K78" i="875"/>
  <c r="I78" i="875"/>
  <c r="E78" i="875"/>
  <c r="C78" i="875"/>
  <c r="A78" i="875"/>
  <c r="K77" i="875"/>
  <c r="I77" i="875"/>
  <c r="E77" i="875"/>
  <c r="C77" i="875"/>
  <c r="A77" i="875"/>
  <c r="K76" i="875"/>
  <c r="I76" i="875"/>
  <c r="E76" i="875"/>
  <c r="C76" i="875"/>
  <c r="A76" i="875"/>
  <c r="K75" i="875"/>
  <c r="I75" i="875"/>
  <c r="E75" i="875"/>
  <c r="C75" i="875"/>
  <c r="A75" i="875"/>
  <c r="K74" i="875"/>
  <c r="I74" i="875"/>
  <c r="E74" i="875"/>
  <c r="C74" i="875"/>
  <c r="A74" i="875"/>
  <c r="K73" i="875"/>
  <c r="I73" i="875"/>
  <c r="E73" i="875"/>
  <c r="C73" i="875"/>
  <c r="A73" i="875"/>
  <c r="K72" i="875"/>
  <c r="I72" i="875"/>
  <c r="E72" i="875"/>
  <c r="C72" i="875"/>
  <c r="A72" i="875"/>
  <c r="K71" i="875"/>
  <c r="I71" i="875"/>
  <c r="E71" i="875"/>
  <c r="C71" i="875"/>
  <c r="A71" i="875"/>
  <c r="K70" i="875"/>
  <c r="I70" i="875"/>
  <c r="E70" i="875"/>
  <c r="C70" i="875"/>
  <c r="A70" i="875"/>
  <c r="K69" i="875"/>
  <c r="I69" i="875"/>
  <c r="E69" i="875"/>
  <c r="C69" i="875"/>
  <c r="A69" i="875"/>
  <c r="K68" i="875"/>
  <c r="I68" i="875"/>
  <c r="E68" i="875"/>
  <c r="C68" i="875"/>
  <c r="A68" i="875"/>
  <c r="AE65" i="875"/>
  <c r="AC65" i="875"/>
  <c r="AA65" i="875"/>
  <c r="Y65" i="875"/>
  <c r="V65" i="875"/>
  <c r="U65" i="875"/>
  <c r="T65" i="875"/>
  <c r="S65" i="875"/>
  <c r="Q65" i="875"/>
  <c r="P65" i="875"/>
  <c r="O65" i="875"/>
  <c r="N65" i="875"/>
  <c r="K65" i="875"/>
  <c r="I65" i="875"/>
  <c r="G65" i="875"/>
  <c r="E65" i="875"/>
  <c r="C65" i="875"/>
  <c r="A65" i="875"/>
  <c r="AE64" i="875"/>
  <c r="AC64" i="875"/>
  <c r="AA64" i="875"/>
  <c r="Y64" i="875"/>
  <c r="V64" i="875"/>
  <c r="U64" i="875"/>
  <c r="T64" i="875"/>
  <c r="S64" i="875"/>
  <c r="Q64" i="875"/>
  <c r="P64" i="875"/>
  <c r="O64" i="875"/>
  <c r="N64" i="875"/>
  <c r="K64" i="875"/>
  <c r="I64" i="875"/>
  <c r="G64" i="875"/>
  <c r="E64" i="875"/>
  <c r="C64" i="875"/>
  <c r="A64" i="875"/>
  <c r="AE63" i="875"/>
  <c r="AC63" i="875"/>
  <c r="AA63" i="875"/>
  <c r="Y63" i="875"/>
  <c r="V63" i="875"/>
  <c r="U63" i="875"/>
  <c r="T63" i="875"/>
  <c r="S63" i="875"/>
  <c r="Q63" i="875"/>
  <c r="P63" i="875"/>
  <c r="O63" i="875"/>
  <c r="N63" i="875"/>
  <c r="K63" i="875"/>
  <c r="I63" i="875"/>
  <c r="G63" i="875"/>
  <c r="E63" i="875"/>
  <c r="C63" i="875"/>
  <c r="A63" i="875"/>
  <c r="AE62" i="875"/>
  <c r="AC62" i="875"/>
  <c r="AA62" i="875"/>
  <c r="Y62" i="875"/>
  <c r="V62" i="875"/>
  <c r="U62" i="875"/>
  <c r="T62" i="875"/>
  <c r="S62" i="875"/>
  <c r="Q62" i="875"/>
  <c r="P62" i="875"/>
  <c r="O62" i="875"/>
  <c r="N62" i="875"/>
  <c r="K62" i="875"/>
  <c r="I62" i="875"/>
  <c r="G62" i="875"/>
  <c r="E62" i="875"/>
  <c r="C62" i="875"/>
  <c r="A62" i="875"/>
  <c r="AE61" i="875"/>
  <c r="AC61" i="875"/>
  <c r="AA61" i="875"/>
  <c r="Y61" i="875"/>
  <c r="V61" i="875"/>
  <c r="U61" i="875"/>
  <c r="T61" i="875"/>
  <c r="S61" i="875"/>
  <c r="Q61" i="875"/>
  <c r="P61" i="875"/>
  <c r="O61" i="875"/>
  <c r="N61" i="875"/>
  <c r="K61" i="875"/>
  <c r="I61" i="875"/>
  <c r="G61" i="875"/>
  <c r="E61" i="875"/>
  <c r="C61" i="875"/>
  <c r="A61" i="875"/>
  <c r="AE60" i="875"/>
  <c r="AC60" i="875"/>
  <c r="AA60" i="875"/>
  <c r="Y60" i="875"/>
  <c r="V60" i="875"/>
  <c r="U60" i="875"/>
  <c r="T60" i="875"/>
  <c r="S60" i="875"/>
  <c r="Q60" i="875"/>
  <c r="P60" i="875"/>
  <c r="O60" i="875"/>
  <c r="N60" i="875"/>
  <c r="K60" i="875"/>
  <c r="I60" i="875"/>
  <c r="G60" i="875"/>
  <c r="E60" i="875"/>
  <c r="C60" i="875"/>
  <c r="A60" i="875"/>
  <c r="AE59" i="875"/>
  <c r="AC59" i="875"/>
  <c r="AA59" i="875"/>
  <c r="Y59" i="875"/>
  <c r="V59" i="875"/>
  <c r="U59" i="875"/>
  <c r="T59" i="875"/>
  <c r="S59" i="875"/>
  <c r="Q59" i="875"/>
  <c r="P59" i="875"/>
  <c r="O59" i="875"/>
  <c r="N59" i="875"/>
  <c r="K59" i="875"/>
  <c r="I59" i="875"/>
  <c r="G59" i="875"/>
  <c r="E59" i="875"/>
  <c r="C59" i="875"/>
  <c r="A59" i="875"/>
  <c r="AE58" i="875"/>
  <c r="AC58" i="875"/>
  <c r="AA58" i="875"/>
  <c r="Y58" i="875"/>
  <c r="V58" i="875"/>
  <c r="U58" i="875"/>
  <c r="T58" i="875"/>
  <c r="S58" i="875"/>
  <c r="Q58" i="875"/>
  <c r="P58" i="875"/>
  <c r="O58" i="875"/>
  <c r="N58" i="875"/>
  <c r="K58" i="875"/>
  <c r="I58" i="875"/>
  <c r="G58" i="875"/>
  <c r="E58" i="875"/>
  <c r="C58" i="875"/>
  <c r="A58" i="875"/>
  <c r="AE57" i="875"/>
  <c r="AC57" i="875"/>
  <c r="AA57" i="875"/>
  <c r="Y57" i="875"/>
  <c r="V57" i="875"/>
  <c r="U57" i="875"/>
  <c r="T57" i="875"/>
  <c r="S57" i="875"/>
  <c r="Q57" i="875"/>
  <c r="P57" i="875"/>
  <c r="O57" i="875"/>
  <c r="N57" i="875"/>
  <c r="K57" i="875"/>
  <c r="I57" i="875"/>
  <c r="G57" i="875"/>
  <c r="E57" i="875"/>
  <c r="C57" i="875"/>
  <c r="A57" i="875"/>
  <c r="AE56" i="875"/>
  <c r="AC56" i="875"/>
  <c r="AA56" i="875"/>
  <c r="Y56" i="875"/>
  <c r="V56" i="875"/>
  <c r="U56" i="875"/>
  <c r="T56" i="875"/>
  <c r="S56" i="875"/>
  <c r="Q56" i="875"/>
  <c r="P56" i="875"/>
  <c r="O56" i="875"/>
  <c r="N56" i="875"/>
  <c r="K56" i="875"/>
  <c r="I56" i="875"/>
  <c r="G56" i="875"/>
  <c r="E56" i="875"/>
  <c r="C56" i="875"/>
  <c r="A56" i="875"/>
  <c r="AE55" i="875"/>
  <c r="AC55" i="875"/>
  <c r="AA55" i="875"/>
  <c r="Y55" i="875"/>
  <c r="V55" i="875"/>
  <c r="U55" i="875"/>
  <c r="T55" i="875"/>
  <c r="S55" i="875"/>
  <c r="Q55" i="875"/>
  <c r="P55" i="875"/>
  <c r="O55" i="875"/>
  <c r="N55" i="875"/>
  <c r="K55" i="875"/>
  <c r="I55" i="875"/>
  <c r="G55" i="875"/>
  <c r="E55" i="875"/>
  <c r="C55" i="875"/>
  <c r="A55" i="875"/>
  <c r="AE54" i="875"/>
  <c r="AC54" i="875"/>
  <c r="AA54" i="875"/>
  <c r="Y54" i="875"/>
  <c r="V54" i="875"/>
  <c r="U54" i="875"/>
  <c r="T54" i="875"/>
  <c r="S54" i="875"/>
  <c r="Q54" i="875"/>
  <c r="P54" i="875"/>
  <c r="O54" i="875"/>
  <c r="N54" i="875"/>
  <c r="K54" i="875"/>
  <c r="I54" i="875"/>
  <c r="G54" i="875"/>
  <c r="E54" i="875"/>
  <c r="C54" i="875"/>
  <c r="A54" i="875"/>
  <c r="T27" i="875"/>
  <c r="AF12" i="258"/>
  <c r="S27" i="875"/>
  <c r="AE12" i="258"/>
  <c r="A19" i="875"/>
  <c r="T20" i="875"/>
  <c r="Y16" i="875"/>
  <c r="X16" i="875"/>
  <c r="AG12" i="258"/>
  <c r="W16" i="875"/>
  <c r="V16" i="875"/>
  <c r="AA12" i="258"/>
  <c r="U16" i="875"/>
  <c r="S16" i="875"/>
  <c r="S20" i="875"/>
  <c r="X12" i="258"/>
  <c r="R16" i="875"/>
  <c r="Q16" i="875"/>
  <c r="P16" i="875"/>
  <c r="O16" i="875"/>
  <c r="N16" i="875"/>
  <c r="M16" i="875"/>
  <c r="L16" i="875"/>
  <c r="K16" i="875"/>
  <c r="J16" i="875"/>
  <c r="I16" i="875"/>
  <c r="F26" i="875"/>
  <c r="F12" i="257"/>
  <c r="H16" i="875"/>
  <c r="F16" i="875"/>
  <c r="E16" i="875"/>
  <c r="C16" i="875"/>
  <c r="H94" i="874"/>
  <c r="F94" i="874"/>
  <c r="D94" i="874"/>
  <c r="B94" i="874"/>
  <c r="K79" i="874"/>
  <c r="I79" i="874"/>
  <c r="E79" i="874"/>
  <c r="C79" i="874"/>
  <c r="A79" i="874"/>
  <c r="K78" i="874"/>
  <c r="I78" i="874"/>
  <c r="E78" i="874"/>
  <c r="C78" i="874"/>
  <c r="A78" i="874"/>
  <c r="K77" i="874"/>
  <c r="I77" i="874"/>
  <c r="E77" i="874"/>
  <c r="C77" i="874"/>
  <c r="A77" i="874"/>
  <c r="K76" i="874"/>
  <c r="I76" i="874"/>
  <c r="E76" i="874"/>
  <c r="C76" i="874"/>
  <c r="A76" i="874"/>
  <c r="K75" i="874"/>
  <c r="I75" i="874"/>
  <c r="E75" i="874"/>
  <c r="C75" i="874"/>
  <c r="A75" i="874"/>
  <c r="K74" i="874"/>
  <c r="I74" i="874"/>
  <c r="E74" i="874"/>
  <c r="C74" i="874"/>
  <c r="A74" i="874"/>
  <c r="K73" i="874"/>
  <c r="I73" i="874"/>
  <c r="E73" i="874"/>
  <c r="C73" i="874"/>
  <c r="A73" i="874"/>
  <c r="K72" i="874"/>
  <c r="I72" i="874"/>
  <c r="E72" i="874"/>
  <c r="C72" i="874"/>
  <c r="A72" i="874"/>
  <c r="K71" i="874"/>
  <c r="I71" i="874"/>
  <c r="E71" i="874"/>
  <c r="C71" i="874"/>
  <c r="A71" i="874"/>
  <c r="K70" i="874"/>
  <c r="I70" i="874"/>
  <c r="E70" i="874"/>
  <c r="C70" i="874"/>
  <c r="A70" i="874"/>
  <c r="K69" i="874"/>
  <c r="I69" i="874"/>
  <c r="E69" i="874"/>
  <c r="C69" i="874"/>
  <c r="A69" i="874"/>
  <c r="K68" i="874"/>
  <c r="I68" i="874"/>
  <c r="E68" i="874"/>
  <c r="C68" i="874"/>
  <c r="A68" i="874"/>
  <c r="AE65" i="874"/>
  <c r="AC65" i="874"/>
  <c r="AA65" i="874"/>
  <c r="Y65" i="874"/>
  <c r="V65" i="874"/>
  <c r="U65" i="874"/>
  <c r="T65" i="874"/>
  <c r="S65" i="874"/>
  <c r="Q65" i="874"/>
  <c r="P65" i="874"/>
  <c r="O65" i="874"/>
  <c r="N65" i="874"/>
  <c r="K65" i="874"/>
  <c r="I65" i="874"/>
  <c r="G65" i="874"/>
  <c r="E65" i="874"/>
  <c r="C65" i="874"/>
  <c r="A65" i="874"/>
  <c r="AE64" i="874"/>
  <c r="AC64" i="874"/>
  <c r="AA64" i="874"/>
  <c r="Y64" i="874"/>
  <c r="V64" i="874"/>
  <c r="U64" i="874"/>
  <c r="T64" i="874"/>
  <c r="S64" i="874"/>
  <c r="Q64" i="874"/>
  <c r="P64" i="874"/>
  <c r="O64" i="874"/>
  <c r="N64" i="874"/>
  <c r="K64" i="874"/>
  <c r="I64" i="874"/>
  <c r="G64" i="874"/>
  <c r="E64" i="874"/>
  <c r="C64" i="874"/>
  <c r="A64" i="874"/>
  <c r="AE63" i="874"/>
  <c r="AC63" i="874"/>
  <c r="AA63" i="874"/>
  <c r="Y63" i="874"/>
  <c r="V63" i="874"/>
  <c r="U63" i="874"/>
  <c r="T63" i="874"/>
  <c r="S63" i="874"/>
  <c r="Q63" i="874"/>
  <c r="P63" i="874"/>
  <c r="O63" i="874"/>
  <c r="N63" i="874"/>
  <c r="K63" i="874"/>
  <c r="I63" i="874"/>
  <c r="G63" i="874"/>
  <c r="E63" i="874"/>
  <c r="C63" i="874"/>
  <c r="A63" i="874"/>
  <c r="AE62" i="874"/>
  <c r="AC62" i="874"/>
  <c r="AA62" i="874"/>
  <c r="Y62" i="874"/>
  <c r="V62" i="874"/>
  <c r="U62" i="874"/>
  <c r="T62" i="874"/>
  <c r="S62" i="874"/>
  <c r="Q62" i="874"/>
  <c r="P62" i="874"/>
  <c r="O62" i="874"/>
  <c r="N62" i="874"/>
  <c r="K62" i="874"/>
  <c r="I62" i="874"/>
  <c r="G62" i="874"/>
  <c r="E62" i="874"/>
  <c r="C62" i="874"/>
  <c r="A62" i="874"/>
  <c r="AE61" i="874"/>
  <c r="AC61" i="874"/>
  <c r="AA61" i="874"/>
  <c r="Y61" i="874"/>
  <c r="V61" i="874"/>
  <c r="U61" i="874"/>
  <c r="T61" i="874"/>
  <c r="S61" i="874"/>
  <c r="Q61" i="874"/>
  <c r="P61" i="874"/>
  <c r="O61" i="874"/>
  <c r="N61" i="874"/>
  <c r="K61" i="874"/>
  <c r="I61" i="874"/>
  <c r="G61" i="874"/>
  <c r="E61" i="874"/>
  <c r="C61" i="874"/>
  <c r="A61" i="874"/>
  <c r="AE60" i="874"/>
  <c r="AC60" i="874"/>
  <c r="AA60" i="874"/>
  <c r="Y60" i="874"/>
  <c r="V60" i="874"/>
  <c r="U60" i="874"/>
  <c r="T60" i="874"/>
  <c r="S60" i="874"/>
  <c r="Q60" i="874"/>
  <c r="P60" i="874"/>
  <c r="O60" i="874"/>
  <c r="N60" i="874"/>
  <c r="K60" i="874"/>
  <c r="I60" i="874"/>
  <c r="G60" i="874"/>
  <c r="E60" i="874"/>
  <c r="C60" i="874"/>
  <c r="A60" i="874"/>
  <c r="AE59" i="874"/>
  <c r="AC59" i="874"/>
  <c r="AA59" i="874"/>
  <c r="Y59" i="874"/>
  <c r="V59" i="874"/>
  <c r="U59" i="874"/>
  <c r="T59" i="874"/>
  <c r="S59" i="874"/>
  <c r="Q59" i="874"/>
  <c r="P59" i="874"/>
  <c r="O59" i="874"/>
  <c r="N59" i="874"/>
  <c r="K59" i="874"/>
  <c r="I59" i="874"/>
  <c r="G59" i="874"/>
  <c r="E59" i="874"/>
  <c r="C59" i="874"/>
  <c r="A59" i="874"/>
  <c r="AE58" i="874"/>
  <c r="AC58" i="874"/>
  <c r="AA58" i="874"/>
  <c r="Y58" i="874"/>
  <c r="V58" i="874"/>
  <c r="U58" i="874"/>
  <c r="T58" i="874"/>
  <c r="S58" i="874"/>
  <c r="Q58" i="874"/>
  <c r="P58" i="874"/>
  <c r="O58" i="874"/>
  <c r="N58" i="874"/>
  <c r="K58" i="874"/>
  <c r="I58" i="874"/>
  <c r="G58" i="874"/>
  <c r="E58" i="874"/>
  <c r="C58" i="874"/>
  <c r="A58" i="874"/>
  <c r="AE57" i="874"/>
  <c r="AC57" i="874"/>
  <c r="AA57" i="874"/>
  <c r="Y57" i="874"/>
  <c r="V57" i="874"/>
  <c r="U57" i="874"/>
  <c r="T57" i="874"/>
  <c r="S57" i="874"/>
  <c r="Q57" i="874"/>
  <c r="P57" i="874"/>
  <c r="O57" i="874"/>
  <c r="N57" i="874"/>
  <c r="K57" i="874"/>
  <c r="I57" i="874"/>
  <c r="G57" i="874"/>
  <c r="E57" i="874"/>
  <c r="C57" i="874"/>
  <c r="A57" i="874"/>
  <c r="AE56" i="874"/>
  <c r="AC56" i="874"/>
  <c r="AA56" i="874"/>
  <c r="Y56" i="874"/>
  <c r="V56" i="874"/>
  <c r="U56" i="874"/>
  <c r="T56" i="874"/>
  <c r="S56" i="874"/>
  <c r="Q56" i="874"/>
  <c r="P56" i="874"/>
  <c r="O56" i="874"/>
  <c r="N56" i="874"/>
  <c r="K56" i="874"/>
  <c r="I56" i="874"/>
  <c r="G56" i="874"/>
  <c r="E56" i="874"/>
  <c r="C56" i="874"/>
  <c r="A56" i="874"/>
  <c r="AE55" i="874"/>
  <c r="AC55" i="874"/>
  <c r="AA55" i="874"/>
  <c r="Y55" i="874"/>
  <c r="V55" i="874"/>
  <c r="U55" i="874"/>
  <c r="T55" i="874"/>
  <c r="S55" i="874"/>
  <c r="Q55" i="874"/>
  <c r="P55" i="874"/>
  <c r="O55" i="874"/>
  <c r="N55" i="874"/>
  <c r="K55" i="874"/>
  <c r="I55" i="874"/>
  <c r="G55" i="874"/>
  <c r="K37" i="874"/>
  <c r="E55" i="874"/>
  <c r="C55" i="874"/>
  <c r="A55" i="874"/>
  <c r="AE54" i="874"/>
  <c r="AE66" i="874"/>
  <c r="AC54" i="874"/>
  <c r="AA54" i="874"/>
  <c r="Y54" i="874"/>
  <c r="V54" i="874"/>
  <c r="U54" i="874"/>
  <c r="T54" i="874"/>
  <c r="S54" i="874"/>
  <c r="Q54" i="874"/>
  <c r="P54" i="874"/>
  <c r="O54" i="874"/>
  <c r="N54" i="874"/>
  <c r="K54" i="874"/>
  <c r="N25" i="874"/>
  <c r="I54" i="874"/>
  <c r="G54" i="874"/>
  <c r="E54" i="874"/>
  <c r="C54" i="874"/>
  <c r="A54" i="874"/>
  <c r="T27" i="874"/>
  <c r="AF13" i="258"/>
  <c r="S27" i="874"/>
  <c r="AE13" i="258"/>
  <c r="O25" i="874"/>
  <c r="A19" i="874"/>
  <c r="T20" i="874"/>
  <c r="Y16" i="874"/>
  <c r="X16" i="874"/>
  <c r="AG13" i="258"/>
  <c r="W16" i="874"/>
  <c r="V16" i="874"/>
  <c r="AA13" i="258"/>
  <c r="U16" i="874"/>
  <c r="S16" i="874"/>
  <c r="S20" i="874"/>
  <c r="X13" i="258"/>
  <c r="R16" i="874"/>
  <c r="Q16" i="874"/>
  <c r="P16" i="874"/>
  <c r="O16" i="874"/>
  <c r="N16" i="874"/>
  <c r="M16" i="874"/>
  <c r="L16" i="874"/>
  <c r="K16" i="874"/>
  <c r="J16" i="874"/>
  <c r="I16" i="874"/>
  <c r="F26" i="874"/>
  <c r="F13" i="257"/>
  <c r="H16" i="874"/>
  <c r="F16" i="874"/>
  <c r="E16" i="874"/>
  <c r="C16" i="874"/>
  <c r="H94" i="873"/>
  <c r="F94" i="873"/>
  <c r="D94" i="873"/>
  <c r="B94" i="873"/>
  <c r="K79" i="873"/>
  <c r="I79" i="873"/>
  <c r="E79" i="873"/>
  <c r="C79" i="873"/>
  <c r="A79" i="873"/>
  <c r="K78" i="873"/>
  <c r="I78" i="873"/>
  <c r="E78" i="873"/>
  <c r="C78" i="873"/>
  <c r="A78" i="873"/>
  <c r="K77" i="873"/>
  <c r="I77" i="873"/>
  <c r="E77" i="873"/>
  <c r="C77" i="873"/>
  <c r="A77" i="873"/>
  <c r="K76" i="873"/>
  <c r="I76" i="873"/>
  <c r="E76" i="873"/>
  <c r="C76" i="873"/>
  <c r="A76" i="873"/>
  <c r="K75" i="873"/>
  <c r="I75" i="873"/>
  <c r="E75" i="873"/>
  <c r="C75" i="873"/>
  <c r="A75" i="873"/>
  <c r="K74" i="873"/>
  <c r="I74" i="873"/>
  <c r="E74" i="873"/>
  <c r="C74" i="873"/>
  <c r="A74" i="873"/>
  <c r="K73" i="873"/>
  <c r="I73" i="873"/>
  <c r="E73" i="873"/>
  <c r="C73" i="873"/>
  <c r="A73" i="873"/>
  <c r="K72" i="873"/>
  <c r="I72" i="873"/>
  <c r="E72" i="873"/>
  <c r="C72" i="873"/>
  <c r="A72" i="873"/>
  <c r="K71" i="873"/>
  <c r="I71" i="873"/>
  <c r="E71" i="873"/>
  <c r="C71" i="873"/>
  <c r="A71" i="873"/>
  <c r="K70" i="873"/>
  <c r="I70" i="873"/>
  <c r="E70" i="873"/>
  <c r="C70" i="873"/>
  <c r="A70" i="873"/>
  <c r="K69" i="873"/>
  <c r="I69" i="873"/>
  <c r="E69" i="873"/>
  <c r="C69" i="873"/>
  <c r="A69" i="873"/>
  <c r="K68" i="873"/>
  <c r="I68" i="873"/>
  <c r="E68" i="873"/>
  <c r="C68" i="873"/>
  <c r="A68" i="873"/>
  <c r="AE65" i="873"/>
  <c r="AC65" i="873"/>
  <c r="AA65" i="873"/>
  <c r="Y65" i="873"/>
  <c r="V65" i="873"/>
  <c r="U65" i="873"/>
  <c r="T65" i="873"/>
  <c r="S65" i="873"/>
  <c r="Q65" i="873"/>
  <c r="P65" i="873"/>
  <c r="O65" i="873"/>
  <c r="N65" i="873"/>
  <c r="K65" i="873"/>
  <c r="I65" i="873"/>
  <c r="G65" i="873"/>
  <c r="E65" i="873"/>
  <c r="C65" i="873"/>
  <c r="A65" i="873"/>
  <c r="AE64" i="873"/>
  <c r="AC64" i="873"/>
  <c r="AA64" i="873"/>
  <c r="Y64" i="873"/>
  <c r="V64" i="873"/>
  <c r="U64" i="873"/>
  <c r="T64" i="873"/>
  <c r="S64" i="873"/>
  <c r="Q64" i="873"/>
  <c r="P64" i="873"/>
  <c r="O64" i="873"/>
  <c r="N64" i="873"/>
  <c r="K64" i="873"/>
  <c r="I64" i="873"/>
  <c r="G64" i="873"/>
  <c r="E64" i="873"/>
  <c r="K34" i="873"/>
  <c r="V14" i="257"/>
  <c r="C64" i="873"/>
  <c r="A64" i="873"/>
  <c r="AE63" i="873"/>
  <c r="AC63" i="873"/>
  <c r="AA63" i="873"/>
  <c r="Y63" i="873"/>
  <c r="V63" i="873"/>
  <c r="U63" i="873"/>
  <c r="T63" i="873"/>
  <c r="S63" i="873"/>
  <c r="Q63" i="873"/>
  <c r="P63" i="873"/>
  <c r="O63" i="873"/>
  <c r="N63" i="873"/>
  <c r="K63" i="873"/>
  <c r="I63" i="873"/>
  <c r="G63" i="873"/>
  <c r="E63" i="873"/>
  <c r="C63" i="873"/>
  <c r="A63" i="873"/>
  <c r="AE62" i="873"/>
  <c r="AC62" i="873"/>
  <c r="AA62" i="873"/>
  <c r="Y62" i="873"/>
  <c r="V62" i="873"/>
  <c r="U62" i="873"/>
  <c r="T62" i="873"/>
  <c r="S62" i="873"/>
  <c r="Q62" i="873"/>
  <c r="P62" i="873"/>
  <c r="O62" i="873"/>
  <c r="N62" i="873"/>
  <c r="K62" i="873"/>
  <c r="I62" i="873"/>
  <c r="G62" i="873"/>
  <c r="E62" i="873"/>
  <c r="C62" i="873"/>
  <c r="A62" i="873"/>
  <c r="AE61" i="873"/>
  <c r="AC61" i="873"/>
  <c r="AA61" i="873"/>
  <c r="Y61" i="873"/>
  <c r="V61" i="873"/>
  <c r="U61" i="873"/>
  <c r="T61" i="873"/>
  <c r="S61" i="873"/>
  <c r="Q61" i="873"/>
  <c r="P61" i="873"/>
  <c r="O61" i="873"/>
  <c r="N61" i="873"/>
  <c r="K61" i="873"/>
  <c r="I61" i="873"/>
  <c r="G61" i="873"/>
  <c r="E61" i="873"/>
  <c r="C61" i="873"/>
  <c r="A61" i="873"/>
  <c r="AE60" i="873"/>
  <c r="AC60" i="873"/>
  <c r="AA60" i="873"/>
  <c r="Y60" i="873"/>
  <c r="V60" i="873"/>
  <c r="U60" i="873"/>
  <c r="T60" i="873"/>
  <c r="S60" i="873"/>
  <c r="Q60" i="873"/>
  <c r="P60" i="873"/>
  <c r="O60" i="873"/>
  <c r="N60" i="873"/>
  <c r="K60" i="873"/>
  <c r="I60" i="873"/>
  <c r="G60" i="873"/>
  <c r="E60" i="873"/>
  <c r="C60" i="873"/>
  <c r="A60" i="873"/>
  <c r="AE59" i="873"/>
  <c r="AC59" i="873"/>
  <c r="AA59" i="873"/>
  <c r="Y59" i="873"/>
  <c r="V59" i="873"/>
  <c r="U59" i="873"/>
  <c r="T59" i="873"/>
  <c r="S59" i="873"/>
  <c r="Q59" i="873"/>
  <c r="P59" i="873"/>
  <c r="O59" i="873"/>
  <c r="N59" i="873"/>
  <c r="K59" i="873"/>
  <c r="I59" i="873"/>
  <c r="G59" i="873"/>
  <c r="E59" i="873"/>
  <c r="C59" i="873"/>
  <c r="A59" i="873"/>
  <c r="AE58" i="873"/>
  <c r="AC58" i="873"/>
  <c r="AA58" i="873"/>
  <c r="Y58" i="873"/>
  <c r="V58" i="873"/>
  <c r="U58" i="873"/>
  <c r="T58" i="873"/>
  <c r="S58" i="873"/>
  <c r="Q58" i="873"/>
  <c r="P58" i="873"/>
  <c r="O58" i="873"/>
  <c r="N58" i="873"/>
  <c r="K58" i="873"/>
  <c r="I58" i="873"/>
  <c r="G58" i="873"/>
  <c r="E58" i="873"/>
  <c r="C58" i="873"/>
  <c r="A58" i="873"/>
  <c r="AE57" i="873"/>
  <c r="AC57" i="873"/>
  <c r="AA57" i="873"/>
  <c r="Y57" i="873"/>
  <c r="V57" i="873"/>
  <c r="U57" i="873"/>
  <c r="T57" i="873"/>
  <c r="S57" i="873"/>
  <c r="Q57" i="873"/>
  <c r="P57" i="873"/>
  <c r="O57" i="873"/>
  <c r="N57" i="873"/>
  <c r="K57" i="873"/>
  <c r="I57" i="873"/>
  <c r="G57" i="873"/>
  <c r="E57" i="873"/>
  <c r="C57" i="873"/>
  <c r="A57" i="873"/>
  <c r="AE56" i="873"/>
  <c r="AC56" i="873"/>
  <c r="AA56" i="873"/>
  <c r="Y56" i="873"/>
  <c r="V56" i="873"/>
  <c r="U56" i="873"/>
  <c r="T56" i="873"/>
  <c r="S56" i="873"/>
  <c r="Q56" i="873"/>
  <c r="P56" i="873"/>
  <c r="O56" i="873"/>
  <c r="N56" i="873"/>
  <c r="K56" i="873"/>
  <c r="I56" i="873"/>
  <c r="G56" i="873"/>
  <c r="E56" i="873"/>
  <c r="C56" i="873"/>
  <c r="A56" i="873"/>
  <c r="AE55" i="873"/>
  <c r="AC55" i="873"/>
  <c r="AA55" i="873"/>
  <c r="Y55" i="873"/>
  <c r="V55" i="873"/>
  <c r="U55" i="873"/>
  <c r="T55" i="873"/>
  <c r="S55" i="873"/>
  <c r="Q55" i="873"/>
  <c r="P55" i="873"/>
  <c r="O55" i="873"/>
  <c r="N55" i="873"/>
  <c r="K55" i="873"/>
  <c r="I55" i="873"/>
  <c r="G55" i="873"/>
  <c r="E55" i="873"/>
  <c r="C55" i="873"/>
  <c r="A55" i="873"/>
  <c r="AE54" i="873"/>
  <c r="AC54" i="873"/>
  <c r="AA54" i="873"/>
  <c r="Y54" i="873"/>
  <c r="Y66" i="873"/>
  <c r="V54" i="873"/>
  <c r="U54" i="873"/>
  <c r="T54" i="873"/>
  <c r="S54" i="873"/>
  <c r="S66" i="873"/>
  <c r="Q54" i="873"/>
  <c r="P54" i="873"/>
  <c r="O54" i="873"/>
  <c r="N54" i="873"/>
  <c r="K54" i="873"/>
  <c r="I54" i="873"/>
  <c r="G54" i="873"/>
  <c r="E54" i="873"/>
  <c r="J34" i="873"/>
  <c r="Q14" i="258"/>
  <c r="C54" i="873"/>
  <c r="A54" i="873"/>
  <c r="T27" i="873"/>
  <c r="AF14" i="258"/>
  <c r="S27" i="873"/>
  <c r="AE14" i="258"/>
  <c r="A19" i="873"/>
  <c r="T20" i="873"/>
  <c r="Y16" i="873"/>
  <c r="X16" i="873"/>
  <c r="AG14" i="258"/>
  <c r="W16" i="873"/>
  <c r="V16" i="873"/>
  <c r="AA14" i="258"/>
  <c r="U16" i="873"/>
  <c r="S16" i="873"/>
  <c r="S20" i="873"/>
  <c r="X14" i="258"/>
  <c r="R16" i="873"/>
  <c r="Q16" i="873"/>
  <c r="P16" i="873"/>
  <c r="O16" i="873"/>
  <c r="N16" i="873"/>
  <c r="M16" i="873"/>
  <c r="L16" i="873"/>
  <c r="K16" i="873"/>
  <c r="J16" i="873"/>
  <c r="I16" i="873"/>
  <c r="F26" i="873"/>
  <c r="F14" i="257"/>
  <c r="H16" i="873"/>
  <c r="C14" i="258"/>
  <c r="F16" i="873"/>
  <c r="E16" i="873"/>
  <c r="C16" i="873"/>
  <c r="H94" i="872"/>
  <c r="F94" i="872"/>
  <c r="D94" i="872"/>
  <c r="B94" i="872"/>
  <c r="K79" i="872"/>
  <c r="I79" i="872"/>
  <c r="E79" i="872"/>
  <c r="C79" i="872"/>
  <c r="A79" i="872"/>
  <c r="K78" i="872"/>
  <c r="I78" i="872"/>
  <c r="E78" i="872"/>
  <c r="C78" i="872"/>
  <c r="A78" i="872"/>
  <c r="K77" i="872"/>
  <c r="I77" i="872"/>
  <c r="E77" i="872"/>
  <c r="C77" i="872"/>
  <c r="A77" i="872"/>
  <c r="K76" i="872"/>
  <c r="I76" i="872"/>
  <c r="E76" i="872"/>
  <c r="C76" i="872"/>
  <c r="A76" i="872"/>
  <c r="K75" i="872"/>
  <c r="I75" i="872"/>
  <c r="E75" i="872"/>
  <c r="C75" i="872"/>
  <c r="A75" i="872"/>
  <c r="K74" i="872"/>
  <c r="I74" i="872"/>
  <c r="E74" i="872"/>
  <c r="C74" i="872"/>
  <c r="A74" i="872"/>
  <c r="K73" i="872"/>
  <c r="I73" i="872"/>
  <c r="E73" i="872"/>
  <c r="C73" i="872"/>
  <c r="A73" i="872"/>
  <c r="K72" i="872"/>
  <c r="I72" i="872"/>
  <c r="E72" i="872"/>
  <c r="C72" i="872"/>
  <c r="A72" i="872"/>
  <c r="K71" i="872"/>
  <c r="I71" i="872"/>
  <c r="E71" i="872"/>
  <c r="C71" i="872"/>
  <c r="A71" i="872"/>
  <c r="K70" i="872"/>
  <c r="I70" i="872"/>
  <c r="E70" i="872"/>
  <c r="C70" i="872"/>
  <c r="A70" i="872"/>
  <c r="K69" i="872"/>
  <c r="I69" i="872"/>
  <c r="E69" i="872"/>
  <c r="C69" i="872"/>
  <c r="A69" i="872"/>
  <c r="K68" i="872"/>
  <c r="I68" i="872"/>
  <c r="E68" i="872"/>
  <c r="C68" i="872"/>
  <c r="A68" i="872"/>
  <c r="AE65" i="872"/>
  <c r="AC65" i="872"/>
  <c r="AA65" i="872"/>
  <c r="Y65" i="872"/>
  <c r="V65" i="872"/>
  <c r="U65" i="872"/>
  <c r="T65" i="872"/>
  <c r="S65" i="872"/>
  <c r="Q65" i="872"/>
  <c r="P65" i="872"/>
  <c r="O65" i="872"/>
  <c r="N65" i="872"/>
  <c r="K65" i="872"/>
  <c r="I65" i="872"/>
  <c r="G65" i="872"/>
  <c r="E65" i="872"/>
  <c r="C65" i="872"/>
  <c r="A65" i="872"/>
  <c r="AE64" i="872"/>
  <c r="AC64" i="872"/>
  <c r="AA64" i="872"/>
  <c r="Y64" i="872"/>
  <c r="V64" i="872"/>
  <c r="U64" i="872"/>
  <c r="T64" i="872"/>
  <c r="S64" i="872"/>
  <c r="Q64" i="872"/>
  <c r="P64" i="872"/>
  <c r="O64" i="872"/>
  <c r="N64" i="872"/>
  <c r="K64" i="872"/>
  <c r="I64" i="872"/>
  <c r="G64" i="872"/>
  <c r="E64" i="872"/>
  <c r="C64" i="872"/>
  <c r="A64" i="872"/>
  <c r="AE63" i="872"/>
  <c r="AC63" i="872"/>
  <c r="AA63" i="872"/>
  <c r="Y63" i="872"/>
  <c r="V63" i="872"/>
  <c r="U63" i="872"/>
  <c r="T63" i="872"/>
  <c r="S63" i="872"/>
  <c r="Q63" i="872"/>
  <c r="P63" i="872"/>
  <c r="O63" i="872"/>
  <c r="N63" i="872"/>
  <c r="K63" i="872"/>
  <c r="I63" i="872"/>
  <c r="G63" i="872"/>
  <c r="E63" i="872"/>
  <c r="C63" i="872"/>
  <c r="A63" i="872"/>
  <c r="AE62" i="872"/>
  <c r="AC62" i="872"/>
  <c r="AA62" i="872"/>
  <c r="Y62" i="872"/>
  <c r="V62" i="872"/>
  <c r="U62" i="872"/>
  <c r="T62" i="872"/>
  <c r="S62" i="872"/>
  <c r="Q62" i="872"/>
  <c r="P62" i="872"/>
  <c r="O62" i="872"/>
  <c r="N62" i="872"/>
  <c r="K62" i="872"/>
  <c r="I62" i="872"/>
  <c r="G62" i="872"/>
  <c r="E62" i="872"/>
  <c r="C62" i="872"/>
  <c r="A62" i="872"/>
  <c r="AE61" i="872"/>
  <c r="AC61" i="872"/>
  <c r="AA61" i="872"/>
  <c r="Y61" i="872"/>
  <c r="V61" i="872"/>
  <c r="U61" i="872"/>
  <c r="T61" i="872"/>
  <c r="S61" i="872"/>
  <c r="Q61" i="872"/>
  <c r="P61" i="872"/>
  <c r="O61" i="872"/>
  <c r="N61" i="872"/>
  <c r="K61" i="872"/>
  <c r="I61" i="872"/>
  <c r="G61" i="872"/>
  <c r="E61" i="872"/>
  <c r="C61" i="872"/>
  <c r="A61" i="872"/>
  <c r="AE60" i="872"/>
  <c r="AC60" i="872"/>
  <c r="AA60" i="872"/>
  <c r="Y60" i="872"/>
  <c r="V60" i="872"/>
  <c r="U60" i="872"/>
  <c r="T60" i="872"/>
  <c r="S60" i="872"/>
  <c r="Q60" i="872"/>
  <c r="P60" i="872"/>
  <c r="O60" i="872"/>
  <c r="N60" i="872"/>
  <c r="K60" i="872"/>
  <c r="I60" i="872"/>
  <c r="G60" i="872"/>
  <c r="E60" i="872"/>
  <c r="C60" i="872"/>
  <c r="A60" i="872"/>
  <c r="AE59" i="872"/>
  <c r="AC59" i="872"/>
  <c r="AA59" i="872"/>
  <c r="Y59" i="872"/>
  <c r="V59" i="872"/>
  <c r="U59" i="872"/>
  <c r="T59" i="872"/>
  <c r="S59" i="872"/>
  <c r="Q59" i="872"/>
  <c r="P59" i="872"/>
  <c r="O59" i="872"/>
  <c r="N59" i="872"/>
  <c r="K59" i="872"/>
  <c r="I59" i="872"/>
  <c r="G59" i="872"/>
  <c r="E59" i="872"/>
  <c r="C59" i="872"/>
  <c r="A59" i="872"/>
  <c r="AE58" i="872"/>
  <c r="AC58" i="872"/>
  <c r="AA58" i="872"/>
  <c r="Y58" i="872"/>
  <c r="V58" i="872"/>
  <c r="U58" i="872"/>
  <c r="T58" i="872"/>
  <c r="S58" i="872"/>
  <c r="Q58" i="872"/>
  <c r="P58" i="872"/>
  <c r="O58" i="872"/>
  <c r="N58" i="872"/>
  <c r="K58" i="872"/>
  <c r="I58" i="872"/>
  <c r="G58" i="872"/>
  <c r="E58" i="872"/>
  <c r="C58" i="872"/>
  <c r="A58" i="872"/>
  <c r="AE57" i="872"/>
  <c r="AC57" i="872"/>
  <c r="AA57" i="872"/>
  <c r="Y57" i="872"/>
  <c r="V57" i="872"/>
  <c r="U57" i="872"/>
  <c r="T57" i="872"/>
  <c r="S57" i="872"/>
  <c r="Q57" i="872"/>
  <c r="P57" i="872"/>
  <c r="O57" i="872"/>
  <c r="N57" i="872"/>
  <c r="K57" i="872"/>
  <c r="I57" i="872"/>
  <c r="G57" i="872"/>
  <c r="E57" i="872"/>
  <c r="C57" i="872"/>
  <c r="A57" i="872"/>
  <c r="AE56" i="872"/>
  <c r="AC56" i="872"/>
  <c r="AA56" i="872"/>
  <c r="Y56" i="872"/>
  <c r="V56" i="872"/>
  <c r="U56" i="872"/>
  <c r="T56" i="872"/>
  <c r="S56" i="872"/>
  <c r="Q56" i="872"/>
  <c r="P56" i="872"/>
  <c r="O56" i="872"/>
  <c r="N56" i="872"/>
  <c r="K56" i="872"/>
  <c r="I56" i="872"/>
  <c r="G56" i="872"/>
  <c r="E56" i="872"/>
  <c r="C56" i="872"/>
  <c r="A56" i="872"/>
  <c r="AE55" i="872"/>
  <c r="AC55" i="872"/>
  <c r="AA55" i="872"/>
  <c r="Y55" i="872"/>
  <c r="V55" i="872"/>
  <c r="U55" i="872"/>
  <c r="T55" i="872"/>
  <c r="S55" i="872"/>
  <c r="Q55" i="872"/>
  <c r="P55" i="872"/>
  <c r="O55" i="872"/>
  <c r="N55" i="872"/>
  <c r="K55" i="872"/>
  <c r="I55" i="872"/>
  <c r="G55" i="872"/>
  <c r="E55" i="872"/>
  <c r="C55" i="872"/>
  <c r="A55" i="872"/>
  <c r="AE54" i="872"/>
  <c r="AC54" i="872"/>
  <c r="AA54" i="872"/>
  <c r="Y54" i="872"/>
  <c r="V54" i="872"/>
  <c r="U54" i="872"/>
  <c r="T54" i="872"/>
  <c r="S54" i="872"/>
  <c r="Q54" i="872"/>
  <c r="P54" i="872"/>
  <c r="O54" i="872"/>
  <c r="N54" i="872"/>
  <c r="K54" i="872"/>
  <c r="Q25" i="872"/>
  <c r="I54" i="872"/>
  <c r="G54" i="872"/>
  <c r="E54" i="872"/>
  <c r="C54" i="872"/>
  <c r="A54" i="872"/>
  <c r="T27" i="872"/>
  <c r="AF15" i="258"/>
  <c r="N28" i="259"/>
  <c r="S27" i="872"/>
  <c r="AE15" i="258"/>
  <c r="N27" i="259"/>
  <c r="N25" i="872"/>
  <c r="P22" i="872"/>
  <c r="A19" i="872"/>
  <c r="T20" i="872"/>
  <c r="Y16" i="872"/>
  <c r="X16" i="872"/>
  <c r="AG15" i="258"/>
  <c r="N29" i="259"/>
  <c r="W16" i="872"/>
  <c r="V16" i="872"/>
  <c r="U16" i="872"/>
  <c r="S16" i="872"/>
  <c r="S20" i="872"/>
  <c r="X15" i="258"/>
  <c r="N20" i="259"/>
  <c r="R16" i="872"/>
  <c r="Q16" i="872"/>
  <c r="P16" i="872"/>
  <c r="O16" i="872"/>
  <c r="N16" i="872"/>
  <c r="M16" i="872"/>
  <c r="L16" i="872"/>
  <c r="K16" i="872"/>
  <c r="J16" i="872"/>
  <c r="I16" i="872"/>
  <c r="H16" i="872"/>
  <c r="F16" i="872"/>
  <c r="E16" i="872"/>
  <c r="C16" i="872"/>
  <c r="H94" i="871"/>
  <c r="F94" i="871"/>
  <c r="D94" i="871"/>
  <c r="B94" i="871"/>
  <c r="K79" i="871"/>
  <c r="I79" i="871"/>
  <c r="E79" i="871"/>
  <c r="C79" i="871"/>
  <c r="A79" i="871"/>
  <c r="K78" i="871"/>
  <c r="I78" i="871"/>
  <c r="E78" i="871"/>
  <c r="C78" i="871"/>
  <c r="A78" i="871"/>
  <c r="K77" i="871"/>
  <c r="I77" i="871"/>
  <c r="E77" i="871"/>
  <c r="C77" i="871"/>
  <c r="A77" i="871"/>
  <c r="K76" i="871"/>
  <c r="I76" i="871"/>
  <c r="E76" i="871"/>
  <c r="C76" i="871"/>
  <c r="A76" i="871"/>
  <c r="K75" i="871"/>
  <c r="I75" i="871"/>
  <c r="E75" i="871"/>
  <c r="C75" i="871"/>
  <c r="A75" i="871"/>
  <c r="K74" i="871"/>
  <c r="I74" i="871"/>
  <c r="E74" i="871"/>
  <c r="C74" i="871"/>
  <c r="A74" i="871"/>
  <c r="K73" i="871"/>
  <c r="I73" i="871"/>
  <c r="E73" i="871"/>
  <c r="C73" i="871"/>
  <c r="A73" i="871"/>
  <c r="K72" i="871"/>
  <c r="I72" i="871"/>
  <c r="E72" i="871"/>
  <c r="C72" i="871"/>
  <c r="A72" i="871"/>
  <c r="K71" i="871"/>
  <c r="I71" i="871"/>
  <c r="E71" i="871"/>
  <c r="C71" i="871"/>
  <c r="A71" i="871"/>
  <c r="K70" i="871"/>
  <c r="I70" i="871"/>
  <c r="E70" i="871"/>
  <c r="C70" i="871"/>
  <c r="A70" i="871"/>
  <c r="K69" i="871"/>
  <c r="I69" i="871"/>
  <c r="E69" i="871"/>
  <c r="C69" i="871"/>
  <c r="A69" i="871"/>
  <c r="K68" i="871"/>
  <c r="I68" i="871"/>
  <c r="E68" i="871"/>
  <c r="C68" i="871"/>
  <c r="A68" i="871"/>
  <c r="AE65" i="871"/>
  <c r="AC65" i="871"/>
  <c r="AA65" i="871"/>
  <c r="Y65" i="871"/>
  <c r="V65" i="871"/>
  <c r="U65" i="871"/>
  <c r="T65" i="871"/>
  <c r="S65" i="871"/>
  <c r="Q65" i="871"/>
  <c r="P65" i="871"/>
  <c r="O65" i="871"/>
  <c r="N65" i="871"/>
  <c r="K65" i="871"/>
  <c r="I65" i="871"/>
  <c r="G65" i="871"/>
  <c r="E65" i="871"/>
  <c r="C65" i="871"/>
  <c r="A65" i="871"/>
  <c r="AE64" i="871"/>
  <c r="AC64" i="871"/>
  <c r="AA64" i="871"/>
  <c r="Y64" i="871"/>
  <c r="V64" i="871"/>
  <c r="U64" i="871"/>
  <c r="T64" i="871"/>
  <c r="S64" i="871"/>
  <c r="Q64" i="871"/>
  <c r="P64" i="871"/>
  <c r="O64" i="871"/>
  <c r="N64" i="871"/>
  <c r="K64" i="871"/>
  <c r="I64" i="871"/>
  <c r="G64" i="871"/>
  <c r="E64" i="871"/>
  <c r="C64" i="871"/>
  <c r="A64" i="871"/>
  <c r="AE63" i="871"/>
  <c r="AC63" i="871"/>
  <c r="AA63" i="871"/>
  <c r="Y63" i="871"/>
  <c r="V63" i="871"/>
  <c r="U63" i="871"/>
  <c r="T63" i="871"/>
  <c r="S63" i="871"/>
  <c r="Q63" i="871"/>
  <c r="P63" i="871"/>
  <c r="O63" i="871"/>
  <c r="N63" i="871"/>
  <c r="K63" i="871"/>
  <c r="I63" i="871"/>
  <c r="G63" i="871"/>
  <c r="E63" i="871"/>
  <c r="C63" i="871"/>
  <c r="A63" i="871"/>
  <c r="AE62" i="871"/>
  <c r="AC62" i="871"/>
  <c r="AA62" i="871"/>
  <c r="Y62" i="871"/>
  <c r="V62" i="871"/>
  <c r="U62" i="871"/>
  <c r="T62" i="871"/>
  <c r="S62" i="871"/>
  <c r="Q62" i="871"/>
  <c r="P62" i="871"/>
  <c r="O62" i="871"/>
  <c r="N62" i="871"/>
  <c r="K62" i="871"/>
  <c r="I62" i="871"/>
  <c r="G62" i="871"/>
  <c r="E62" i="871"/>
  <c r="C62" i="871"/>
  <c r="A62" i="871"/>
  <c r="AE61" i="871"/>
  <c r="AC61" i="871"/>
  <c r="AA61" i="871"/>
  <c r="Y61" i="871"/>
  <c r="V61" i="871"/>
  <c r="U61" i="871"/>
  <c r="T61" i="871"/>
  <c r="S61" i="871"/>
  <c r="Q61" i="871"/>
  <c r="P61" i="871"/>
  <c r="O61" i="871"/>
  <c r="N61" i="871"/>
  <c r="K61" i="871"/>
  <c r="I61" i="871"/>
  <c r="G61" i="871"/>
  <c r="E61" i="871"/>
  <c r="C61" i="871"/>
  <c r="A61" i="871"/>
  <c r="AE60" i="871"/>
  <c r="AC60" i="871"/>
  <c r="AA60" i="871"/>
  <c r="Y60" i="871"/>
  <c r="V60" i="871"/>
  <c r="U60" i="871"/>
  <c r="T60" i="871"/>
  <c r="S60" i="871"/>
  <c r="Q60" i="871"/>
  <c r="P60" i="871"/>
  <c r="O60" i="871"/>
  <c r="N60" i="871"/>
  <c r="K60" i="871"/>
  <c r="I60" i="871"/>
  <c r="G60" i="871"/>
  <c r="E60" i="871"/>
  <c r="C60" i="871"/>
  <c r="A60" i="871"/>
  <c r="AE59" i="871"/>
  <c r="AC59" i="871"/>
  <c r="AA59" i="871"/>
  <c r="Y59" i="871"/>
  <c r="V59" i="871"/>
  <c r="U59" i="871"/>
  <c r="T59" i="871"/>
  <c r="S59" i="871"/>
  <c r="Q59" i="871"/>
  <c r="P59" i="871"/>
  <c r="O59" i="871"/>
  <c r="N59" i="871"/>
  <c r="K59" i="871"/>
  <c r="I59" i="871"/>
  <c r="G59" i="871"/>
  <c r="E59" i="871"/>
  <c r="C59" i="871"/>
  <c r="A59" i="871"/>
  <c r="AE58" i="871"/>
  <c r="AC58" i="871"/>
  <c r="AA58" i="871"/>
  <c r="Y58" i="871"/>
  <c r="V58" i="871"/>
  <c r="U58" i="871"/>
  <c r="T58" i="871"/>
  <c r="S58" i="871"/>
  <c r="Q58" i="871"/>
  <c r="P58" i="871"/>
  <c r="O58" i="871"/>
  <c r="N58" i="871"/>
  <c r="K58" i="871"/>
  <c r="I58" i="871"/>
  <c r="G58" i="871"/>
  <c r="E58" i="871"/>
  <c r="C58" i="871"/>
  <c r="A58" i="871"/>
  <c r="AE57" i="871"/>
  <c r="AC57" i="871"/>
  <c r="AA57" i="871"/>
  <c r="Y57" i="871"/>
  <c r="V57" i="871"/>
  <c r="U57" i="871"/>
  <c r="T57" i="871"/>
  <c r="S57" i="871"/>
  <c r="Q57" i="871"/>
  <c r="P57" i="871"/>
  <c r="O57" i="871"/>
  <c r="N57" i="871"/>
  <c r="K57" i="871"/>
  <c r="I57" i="871"/>
  <c r="G57" i="871"/>
  <c r="E57" i="871"/>
  <c r="C57" i="871"/>
  <c r="A57" i="871"/>
  <c r="AE56" i="871"/>
  <c r="AC56" i="871"/>
  <c r="AA56" i="871"/>
  <c r="Y56" i="871"/>
  <c r="V56" i="871"/>
  <c r="U56" i="871"/>
  <c r="T56" i="871"/>
  <c r="S56" i="871"/>
  <c r="Q56" i="871"/>
  <c r="P56" i="871"/>
  <c r="O56" i="871"/>
  <c r="N56" i="871"/>
  <c r="K56" i="871"/>
  <c r="I56" i="871"/>
  <c r="G56" i="871"/>
  <c r="E56" i="871"/>
  <c r="C56" i="871"/>
  <c r="A56" i="871"/>
  <c r="AE55" i="871"/>
  <c r="AC55" i="871"/>
  <c r="AA55" i="871"/>
  <c r="Y55" i="871"/>
  <c r="V55" i="871"/>
  <c r="U55" i="871"/>
  <c r="T55" i="871"/>
  <c r="S55" i="871"/>
  <c r="Q55" i="871"/>
  <c r="P55" i="871"/>
  <c r="O55" i="871"/>
  <c r="N55" i="871"/>
  <c r="K55" i="871"/>
  <c r="I55" i="871"/>
  <c r="G55" i="871"/>
  <c r="E55" i="871"/>
  <c r="C55" i="871"/>
  <c r="A55" i="871"/>
  <c r="AE54" i="871"/>
  <c r="AC54" i="871"/>
  <c r="AA54" i="871"/>
  <c r="Y54" i="871"/>
  <c r="V54" i="871"/>
  <c r="U54" i="871"/>
  <c r="T54" i="871"/>
  <c r="S54" i="871"/>
  <c r="Q54" i="871"/>
  <c r="P54" i="871"/>
  <c r="O54" i="871"/>
  <c r="N54" i="871"/>
  <c r="K54" i="871"/>
  <c r="I54" i="871"/>
  <c r="G54" i="871"/>
  <c r="E54" i="871"/>
  <c r="C54" i="871"/>
  <c r="A54" i="871"/>
  <c r="K37" i="871"/>
  <c r="J34" i="871"/>
  <c r="Q16" i="258"/>
  <c r="T27" i="871"/>
  <c r="AF16" i="258"/>
  <c r="S27" i="871"/>
  <c r="AE16" i="258"/>
  <c r="A19" i="871"/>
  <c r="T20" i="871"/>
  <c r="Y16" i="871"/>
  <c r="X16" i="871"/>
  <c r="AG16" i="258"/>
  <c r="W16" i="871"/>
  <c r="V16" i="871"/>
  <c r="AA16" i="258"/>
  <c r="U16" i="871"/>
  <c r="S16" i="871"/>
  <c r="S20" i="871"/>
  <c r="X16" i="258"/>
  <c r="R16" i="871"/>
  <c r="Q16" i="871"/>
  <c r="P16" i="871"/>
  <c r="O16" i="871"/>
  <c r="N16" i="871"/>
  <c r="M16" i="871"/>
  <c r="L16" i="871"/>
  <c r="K16" i="871"/>
  <c r="J16" i="871"/>
  <c r="I16" i="871"/>
  <c r="H16" i="871"/>
  <c r="F16" i="871"/>
  <c r="E16" i="871"/>
  <c r="C16" i="871"/>
  <c r="H94" i="870"/>
  <c r="F94" i="870"/>
  <c r="D94" i="870"/>
  <c r="B94" i="870"/>
  <c r="K79" i="870"/>
  <c r="I79" i="870"/>
  <c r="E79" i="870"/>
  <c r="C79" i="870"/>
  <c r="A79" i="870"/>
  <c r="K78" i="870"/>
  <c r="I78" i="870"/>
  <c r="E78" i="870"/>
  <c r="C78" i="870"/>
  <c r="A78" i="870"/>
  <c r="K77" i="870"/>
  <c r="I77" i="870"/>
  <c r="E77" i="870"/>
  <c r="C77" i="870"/>
  <c r="A77" i="870"/>
  <c r="K76" i="870"/>
  <c r="I76" i="870"/>
  <c r="E76" i="870"/>
  <c r="C76" i="870"/>
  <c r="A76" i="870"/>
  <c r="K75" i="870"/>
  <c r="I75" i="870"/>
  <c r="E75" i="870"/>
  <c r="C75" i="870"/>
  <c r="A75" i="870"/>
  <c r="K74" i="870"/>
  <c r="I74" i="870"/>
  <c r="E74" i="870"/>
  <c r="C74" i="870"/>
  <c r="A74" i="870"/>
  <c r="K73" i="870"/>
  <c r="I73" i="870"/>
  <c r="E73" i="870"/>
  <c r="C73" i="870"/>
  <c r="A73" i="870"/>
  <c r="K72" i="870"/>
  <c r="I72" i="870"/>
  <c r="E72" i="870"/>
  <c r="C72" i="870"/>
  <c r="A72" i="870"/>
  <c r="K71" i="870"/>
  <c r="I71" i="870"/>
  <c r="E71" i="870"/>
  <c r="C71" i="870"/>
  <c r="A71" i="870"/>
  <c r="K70" i="870"/>
  <c r="I70" i="870"/>
  <c r="E70" i="870"/>
  <c r="C70" i="870"/>
  <c r="A70" i="870"/>
  <c r="K69" i="870"/>
  <c r="I69" i="870"/>
  <c r="E69" i="870"/>
  <c r="C69" i="870"/>
  <c r="A69" i="870"/>
  <c r="K68" i="870"/>
  <c r="I68" i="870"/>
  <c r="E68" i="870"/>
  <c r="C68" i="870"/>
  <c r="A68" i="870"/>
  <c r="AE65" i="870"/>
  <c r="AC65" i="870"/>
  <c r="AA65" i="870"/>
  <c r="Y65" i="870"/>
  <c r="V65" i="870"/>
  <c r="U65" i="870"/>
  <c r="T65" i="870"/>
  <c r="S65" i="870"/>
  <c r="Q65" i="870"/>
  <c r="P65" i="870"/>
  <c r="O65" i="870"/>
  <c r="N65" i="870"/>
  <c r="K65" i="870"/>
  <c r="I65" i="870"/>
  <c r="G65" i="870"/>
  <c r="E65" i="870"/>
  <c r="C65" i="870"/>
  <c r="A65" i="870"/>
  <c r="AE64" i="870"/>
  <c r="AC64" i="870"/>
  <c r="AA64" i="870"/>
  <c r="Y64" i="870"/>
  <c r="V64" i="870"/>
  <c r="U64" i="870"/>
  <c r="T64" i="870"/>
  <c r="S64" i="870"/>
  <c r="Q64" i="870"/>
  <c r="P64" i="870"/>
  <c r="O64" i="870"/>
  <c r="N64" i="870"/>
  <c r="K64" i="870"/>
  <c r="I64" i="870"/>
  <c r="G64" i="870"/>
  <c r="E64" i="870"/>
  <c r="C64" i="870"/>
  <c r="A64" i="870"/>
  <c r="AE63" i="870"/>
  <c r="AC63" i="870"/>
  <c r="AA63" i="870"/>
  <c r="Y63" i="870"/>
  <c r="V63" i="870"/>
  <c r="U63" i="870"/>
  <c r="T63" i="870"/>
  <c r="S63" i="870"/>
  <c r="Q63" i="870"/>
  <c r="P63" i="870"/>
  <c r="O63" i="870"/>
  <c r="N63" i="870"/>
  <c r="K63" i="870"/>
  <c r="I63" i="870"/>
  <c r="G63" i="870"/>
  <c r="E63" i="870"/>
  <c r="C63" i="870"/>
  <c r="A63" i="870"/>
  <c r="AE62" i="870"/>
  <c r="AC62" i="870"/>
  <c r="AA62" i="870"/>
  <c r="Y62" i="870"/>
  <c r="V62" i="870"/>
  <c r="U62" i="870"/>
  <c r="T62" i="870"/>
  <c r="S62" i="870"/>
  <c r="Q62" i="870"/>
  <c r="P62" i="870"/>
  <c r="O62" i="870"/>
  <c r="N62" i="870"/>
  <c r="K62" i="870"/>
  <c r="I62" i="870"/>
  <c r="G62" i="870"/>
  <c r="E62" i="870"/>
  <c r="C62" i="870"/>
  <c r="A62" i="870"/>
  <c r="AE61" i="870"/>
  <c r="AC61" i="870"/>
  <c r="AA61" i="870"/>
  <c r="Y61" i="870"/>
  <c r="V61" i="870"/>
  <c r="U61" i="870"/>
  <c r="T61" i="870"/>
  <c r="S61" i="870"/>
  <c r="Q61" i="870"/>
  <c r="P61" i="870"/>
  <c r="O61" i="870"/>
  <c r="N61" i="870"/>
  <c r="K61" i="870"/>
  <c r="I61" i="870"/>
  <c r="G61" i="870"/>
  <c r="E61" i="870"/>
  <c r="C61" i="870"/>
  <c r="A61" i="870"/>
  <c r="AE60" i="870"/>
  <c r="AC60" i="870"/>
  <c r="AA60" i="870"/>
  <c r="Y60" i="870"/>
  <c r="V60" i="870"/>
  <c r="U60" i="870"/>
  <c r="T60" i="870"/>
  <c r="S60" i="870"/>
  <c r="Q60" i="870"/>
  <c r="P60" i="870"/>
  <c r="O60" i="870"/>
  <c r="N60" i="870"/>
  <c r="K60" i="870"/>
  <c r="I60" i="870"/>
  <c r="G60" i="870"/>
  <c r="E60" i="870"/>
  <c r="C60" i="870"/>
  <c r="A60" i="870"/>
  <c r="AE59" i="870"/>
  <c r="AC59" i="870"/>
  <c r="AA59" i="870"/>
  <c r="Y59" i="870"/>
  <c r="V59" i="870"/>
  <c r="U59" i="870"/>
  <c r="T59" i="870"/>
  <c r="S59" i="870"/>
  <c r="Q59" i="870"/>
  <c r="P59" i="870"/>
  <c r="O59" i="870"/>
  <c r="N59" i="870"/>
  <c r="K59" i="870"/>
  <c r="I59" i="870"/>
  <c r="G59" i="870"/>
  <c r="E59" i="870"/>
  <c r="C59" i="870"/>
  <c r="A59" i="870"/>
  <c r="AE58" i="870"/>
  <c r="AC58" i="870"/>
  <c r="AA58" i="870"/>
  <c r="Y58" i="870"/>
  <c r="V58" i="870"/>
  <c r="U58" i="870"/>
  <c r="T58" i="870"/>
  <c r="S58" i="870"/>
  <c r="Q58" i="870"/>
  <c r="P58" i="870"/>
  <c r="O58" i="870"/>
  <c r="N58" i="870"/>
  <c r="K58" i="870"/>
  <c r="I58" i="870"/>
  <c r="G58" i="870"/>
  <c r="E58" i="870"/>
  <c r="C58" i="870"/>
  <c r="A58" i="870"/>
  <c r="AE57" i="870"/>
  <c r="AC57" i="870"/>
  <c r="AA57" i="870"/>
  <c r="Y57" i="870"/>
  <c r="V57" i="870"/>
  <c r="U57" i="870"/>
  <c r="T57" i="870"/>
  <c r="S57" i="870"/>
  <c r="Q57" i="870"/>
  <c r="P57" i="870"/>
  <c r="O57" i="870"/>
  <c r="N57" i="870"/>
  <c r="K57" i="870"/>
  <c r="I57" i="870"/>
  <c r="G57" i="870"/>
  <c r="E57" i="870"/>
  <c r="C57" i="870"/>
  <c r="A57" i="870"/>
  <c r="AE56" i="870"/>
  <c r="AC56" i="870"/>
  <c r="AA56" i="870"/>
  <c r="Y56" i="870"/>
  <c r="V56" i="870"/>
  <c r="U56" i="870"/>
  <c r="T56" i="870"/>
  <c r="S56" i="870"/>
  <c r="Q56" i="870"/>
  <c r="P56" i="870"/>
  <c r="O56" i="870"/>
  <c r="N56" i="870"/>
  <c r="K56" i="870"/>
  <c r="I56" i="870"/>
  <c r="G56" i="870"/>
  <c r="E56" i="870"/>
  <c r="C56" i="870"/>
  <c r="A56" i="870"/>
  <c r="AE55" i="870"/>
  <c r="AC55" i="870"/>
  <c r="AA55" i="870"/>
  <c r="Y55" i="870"/>
  <c r="V55" i="870"/>
  <c r="U55" i="870"/>
  <c r="T55" i="870"/>
  <c r="S55" i="870"/>
  <c r="Q55" i="870"/>
  <c r="P55" i="870"/>
  <c r="O55" i="870"/>
  <c r="N55" i="870"/>
  <c r="K55" i="870"/>
  <c r="I55" i="870"/>
  <c r="G55" i="870"/>
  <c r="E55" i="870"/>
  <c r="C55" i="870"/>
  <c r="A55" i="870"/>
  <c r="AE54" i="870"/>
  <c r="AC54" i="870"/>
  <c r="AA54" i="870"/>
  <c r="AA66" i="870"/>
  <c r="Y54" i="870"/>
  <c r="V54" i="870"/>
  <c r="U54" i="870"/>
  <c r="T54" i="870"/>
  <c r="S54" i="870"/>
  <c r="Q54" i="870"/>
  <c r="P54" i="870"/>
  <c r="O54" i="870"/>
  <c r="N54" i="870"/>
  <c r="K54" i="870"/>
  <c r="I54" i="870"/>
  <c r="G54" i="870"/>
  <c r="J37" i="870"/>
  <c r="S17" i="258"/>
  <c r="E54" i="870"/>
  <c r="C54" i="870"/>
  <c r="A54" i="870"/>
  <c r="K37" i="870"/>
  <c r="T27" i="870"/>
  <c r="AF17" i="258"/>
  <c r="S27" i="870"/>
  <c r="AE17" i="258"/>
  <c r="A19" i="870"/>
  <c r="T20" i="870"/>
  <c r="Y16" i="870"/>
  <c r="X16" i="870"/>
  <c r="AG17" i="258"/>
  <c r="W16" i="870"/>
  <c r="V16" i="870"/>
  <c r="AA17" i="258"/>
  <c r="U16" i="870"/>
  <c r="S16" i="870"/>
  <c r="S20" i="870"/>
  <c r="X17" i="258"/>
  <c r="R16" i="870"/>
  <c r="Q16" i="870"/>
  <c r="P16" i="870"/>
  <c r="O16" i="870"/>
  <c r="N16" i="870"/>
  <c r="M16" i="870"/>
  <c r="L16" i="870"/>
  <c r="K16" i="870"/>
  <c r="J16" i="870"/>
  <c r="I16" i="870"/>
  <c r="H16" i="870"/>
  <c r="F16" i="870"/>
  <c r="E16" i="870"/>
  <c r="C16" i="870"/>
  <c r="H94" i="869"/>
  <c r="F94" i="869"/>
  <c r="D94" i="869"/>
  <c r="B94" i="869"/>
  <c r="K79" i="869"/>
  <c r="I79" i="869"/>
  <c r="E79" i="869"/>
  <c r="C79" i="869"/>
  <c r="A79" i="869"/>
  <c r="K78" i="869"/>
  <c r="I78" i="869"/>
  <c r="E78" i="869"/>
  <c r="C78" i="869"/>
  <c r="A78" i="869"/>
  <c r="K77" i="869"/>
  <c r="I77" i="869"/>
  <c r="E77" i="869"/>
  <c r="C77" i="869"/>
  <c r="A77" i="869"/>
  <c r="K76" i="869"/>
  <c r="I76" i="869"/>
  <c r="E76" i="869"/>
  <c r="C76" i="869"/>
  <c r="A76" i="869"/>
  <c r="K75" i="869"/>
  <c r="I75" i="869"/>
  <c r="E75" i="869"/>
  <c r="C75" i="869"/>
  <c r="A75" i="869"/>
  <c r="K74" i="869"/>
  <c r="I74" i="869"/>
  <c r="E74" i="869"/>
  <c r="C74" i="869"/>
  <c r="A74" i="869"/>
  <c r="K73" i="869"/>
  <c r="I73" i="869"/>
  <c r="E73" i="869"/>
  <c r="C73" i="869"/>
  <c r="A73" i="869"/>
  <c r="K72" i="869"/>
  <c r="I72" i="869"/>
  <c r="E72" i="869"/>
  <c r="C72" i="869"/>
  <c r="A72" i="869"/>
  <c r="K71" i="869"/>
  <c r="I71" i="869"/>
  <c r="E71" i="869"/>
  <c r="C71" i="869"/>
  <c r="A71" i="869"/>
  <c r="K70" i="869"/>
  <c r="I70" i="869"/>
  <c r="E70" i="869"/>
  <c r="C70" i="869"/>
  <c r="A70" i="869"/>
  <c r="K69" i="869"/>
  <c r="I69" i="869"/>
  <c r="E69" i="869"/>
  <c r="C69" i="869"/>
  <c r="A69" i="869"/>
  <c r="K68" i="869"/>
  <c r="I68" i="869"/>
  <c r="E68" i="869"/>
  <c r="C68" i="869"/>
  <c r="A68" i="869"/>
  <c r="AE65" i="869"/>
  <c r="AC65" i="869"/>
  <c r="AA65" i="869"/>
  <c r="Y65" i="869"/>
  <c r="V65" i="869"/>
  <c r="U65" i="869"/>
  <c r="T65" i="869"/>
  <c r="S65" i="869"/>
  <c r="Q65" i="869"/>
  <c r="P65" i="869"/>
  <c r="O65" i="869"/>
  <c r="N65" i="869"/>
  <c r="K65" i="869"/>
  <c r="I65" i="869"/>
  <c r="G65" i="869"/>
  <c r="E65" i="869"/>
  <c r="C65" i="869"/>
  <c r="A65" i="869"/>
  <c r="AE64" i="869"/>
  <c r="AC64" i="869"/>
  <c r="AA64" i="869"/>
  <c r="Y64" i="869"/>
  <c r="V64" i="869"/>
  <c r="U64" i="869"/>
  <c r="T64" i="869"/>
  <c r="S64" i="869"/>
  <c r="Q64" i="869"/>
  <c r="P64" i="869"/>
  <c r="O64" i="869"/>
  <c r="N64" i="869"/>
  <c r="K64" i="869"/>
  <c r="I64" i="869"/>
  <c r="G64" i="869"/>
  <c r="E64" i="869"/>
  <c r="C64" i="869"/>
  <c r="A64" i="869"/>
  <c r="AE63" i="869"/>
  <c r="AC63" i="869"/>
  <c r="AA63" i="869"/>
  <c r="Y63" i="869"/>
  <c r="V63" i="869"/>
  <c r="U63" i="869"/>
  <c r="T63" i="869"/>
  <c r="S63" i="869"/>
  <c r="Q63" i="869"/>
  <c r="P63" i="869"/>
  <c r="O63" i="869"/>
  <c r="N63" i="869"/>
  <c r="K63" i="869"/>
  <c r="I63" i="869"/>
  <c r="G63" i="869"/>
  <c r="E63" i="869"/>
  <c r="C63" i="869"/>
  <c r="A63" i="869"/>
  <c r="AE62" i="869"/>
  <c r="AC62" i="869"/>
  <c r="AA62" i="869"/>
  <c r="Y62" i="869"/>
  <c r="V62" i="869"/>
  <c r="U62" i="869"/>
  <c r="T62" i="869"/>
  <c r="S62" i="869"/>
  <c r="Q62" i="869"/>
  <c r="P62" i="869"/>
  <c r="O62" i="869"/>
  <c r="N62" i="869"/>
  <c r="K62" i="869"/>
  <c r="I62" i="869"/>
  <c r="G62" i="869"/>
  <c r="E62" i="869"/>
  <c r="C62" i="869"/>
  <c r="A62" i="869"/>
  <c r="AE61" i="869"/>
  <c r="AC61" i="869"/>
  <c r="AA61" i="869"/>
  <c r="Y61" i="869"/>
  <c r="V61" i="869"/>
  <c r="U61" i="869"/>
  <c r="T61" i="869"/>
  <c r="S61" i="869"/>
  <c r="Q61" i="869"/>
  <c r="P61" i="869"/>
  <c r="O61" i="869"/>
  <c r="N61" i="869"/>
  <c r="K61" i="869"/>
  <c r="I61" i="869"/>
  <c r="G61" i="869"/>
  <c r="E61" i="869"/>
  <c r="C61" i="869"/>
  <c r="A61" i="869"/>
  <c r="AE60" i="869"/>
  <c r="AC60" i="869"/>
  <c r="AA60" i="869"/>
  <c r="Y60" i="869"/>
  <c r="V60" i="869"/>
  <c r="U60" i="869"/>
  <c r="T60" i="869"/>
  <c r="S60" i="869"/>
  <c r="Q60" i="869"/>
  <c r="P60" i="869"/>
  <c r="O60" i="869"/>
  <c r="N60" i="869"/>
  <c r="K60" i="869"/>
  <c r="I60" i="869"/>
  <c r="G60" i="869"/>
  <c r="E60" i="869"/>
  <c r="C60" i="869"/>
  <c r="A60" i="869"/>
  <c r="K24" i="869"/>
  <c r="I18" i="258"/>
  <c r="AE59" i="869"/>
  <c r="AC59" i="869"/>
  <c r="AA59" i="869"/>
  <c r="Y59" i="869"/>
  <c r="V59" i="869"/>
  <c r="U59" i="869"/>
  <c r="T59" i="869"/>
  <c r="S59" i="869"/>
  <c r="Q59" i="869"/>
  <c r="P59" i="869"/>
  <c r="O59" i="869"/>
  <c r="N59" i="869"/>
  <c r="K59" i="869"/>
  <c r="I59" i="869"/>
  <c r="G59" i="869"/>
  <c r="E59" i="869"/>
  <c r="C59" i="869"/>
  <c r="A59" i="869"/>
  <c r="AE58" i="869"/>
  <c r="AC58" i="869"/>
  <c r="AA58" i="869"/>
  <c r="Y58" i="869"/>
  <c r="V58" i="869"/>
  <c r="U58" i="869"/>
  <c r="T58" i="869"/>
  <c r="S58" i="869"/>
  <c r="Q58" i="869"/>
  <c r="P58" i="869"/>
  <c r="O58" i="869"/>
  <c r="N58" i="869"/>
  <c r="K58" i="869"/>
  <c r="I58" i="869"/>
  <c r="G58" i="869"/>
  <c r="E58" i="869"/>
  <c r="C58" i="869"/>
  <c r="A58" i="869"/>
  <c r="AE57" i="869"/>
  <c r="AC57" i="869"/>
  <c r="AA57" i="869"/>
  <c r="Y57" i="869"/>
  <c r="V57" i="869"/>
  <c r="U57" i="869"/>
  <c r="T57" i="869"/>
  <c r="S57" i="869"/>
  <c r="Q57" i="869"/>
  <c r="P57" i="869"/>
  <c r="O57" i="869"/>
  <c r="N57" i="869"/>
  <c r="K57" i="869"/>
  <c r="I57" i="869"/>
  <c r="G57" i="869"/>
  <c r="E57" i="869"/>
  <c r="C57" i="869"/>
  <c r="A57" i="869"/>
  <c r="AE56" i="869"/>
  <c r="AC56" i="869"/>
  <c r="AA56" i="869"/>
  <c r="Y56" i="869"/>
  <c r="V56" i="869"/>
  <c r="U56" i="869"/>
  <c r="T56" i="869"/>
  <c r="S56" i="869"/>
  <c r="Q56" i="869"/>
  <c r="P56" i="869"/>
  <c r="O56" i="869"/>
  <c r="N56" i="869"/>
  <c r="K56" i="869"/>
  <c r="I56" i="869"/>
  <c r="O22" i="869"/>
  <c r="G56" i="869"/>
  <c r="E56" i="869"/>
  <c r="C56" i="869"/>
  <c r="A56" i="869"/>
  <c r="AE55" i="869"/>
  <c r="AC55" i="869"/>
  <c r="AA55" i="869"/>
  <c r="Y55" i="869"/>
  <c r="V55" i="869"/>
  <c r="U55" i="869"/>
  <c r="T55" i="869"/>
  <c r="S55" i="869"/>
  <c r="Q55" i="869"/>
  <c r="P55" i="869"/>
  <c r="O55" i="869"/>
  <c r="N55" i="869"/>
  <c r="K55" i="869"/>
  <c r="I55" i="869"/>
  <c r="G55" i="869"/>
  <c r="E55" i="869"/>
  <c r="C55" i="869"/>
  <c r="A55" i="869"/>
  <c r="AE54" i="869"/>
  <c r="AC54" i="869"/>
  <c r="AA54" i="869"/>
  <c r="Y54" i="869"/>
  <c r="V54" i="869"/>
  <c r="U54" i="869"/>
  <c r="U66" i="869"/>
  <c r="T54" i="869"/>
  <c r="S54" i="869"/>
  <c r="Q54" i="869"/>
  <c r="P54" i="869"/>
  <c r="O54" i="869"/>
  <c r="N54" i="869"/>
  <c r="K54" i="869"/>
  <c r="I54" i="869"/>
  <c r="N22" i="869"/>
  <c r="G54" i="869"/>
  <c r="E54" i="869"/>
  <c r="C54" i="869"/>
  <c r="A54" i="869"/>
  <c r="T27" i="869"/>
  <c r="AF18" i="258"/>
  <c r="S27" i="869"/>
  <c r="AE18" i="258"/>
  <c r="A19" i="869"/>
  <c r="T20" i="869"/>
  <c r="Y16" i="869"/>
  <c r="X16" i="869"/>
  <c r="AG18" i="258"/>
  <c r="W16" i="869"/>
  <c r="V16" i="869"/>
  <c r="AA18" i="258"/>
  <c r="U16" i="869"/>
  <c r="S16" i="869"/>
  <c r="S20" i="869"/>
  <c r="X18" i="258"/>
  <c r="R16" i="869"/>
  <c r="Q16" i="869"/>
  <c r="P16" i="869"/>
  <c r="O16" i="869"/>
  <c r="N16" i="869"/>
  <c r="M16" i="869"/>
  <c r="L16" i="869"/>
  <c r="K16" i="869"/>
  <c r="J16" i="869"/>
  <c r="I16" i="869"/>
  <c r="F26" i="869"/>
  <c r="F18" i="257"/>
  <c r="H16" i="869"/>
  <c r="F16" i="869"/>
  <c r="E16" i="869"/>
  <c r="C16" i="869"/>
  <c r="H94" i="868"/>
  <c r="F94" i="868"/>
  <c r="D94" i="868"/>
  <c r="B94" i="868"/>
  <c r="K79" i="868"/>
  <c r="I79" i="868"/>
  <c r="E79" i="868"/>
  <c r="C79" i="868"/>
  <c r="A79" i="868"/>
  <c r="K78" i="868"/>
  <c r="I78" i="868"/>
  <c r="E78" i="868"/>
  <c r="C78" i="868"/>
  <c r="A78" i="868"/>
  <c r="K77" i="868"/>
  <c r="I77" i="868"/>
  <c r="E77" i="868"/>
  <c r="C77" i="868"/>
  <c r="A77" i="868"/>
  <c r="K76" i="868"/>
  <c r="I76" i="868"/>
  <c r="E76" i="868"/>
  <c r="C76" i="868"/>
  <c r="A76" i="868"/>
  <c r="K75" i="868"/>
  <c r="I75" i="868"/>
  <c r="E75" i="868"/>
  <c r="C75" i="868"/>
  <c r="A75" i="868"/>
  <c r="K74" i="868"/>
  <c r="I74" i="868"/>
  <c r="E74" i="868"/>
  <c r="C74" i="868"/>
  <c r="A74" i="868"/>
  <c r="K73" i="868"/>
  <c r="I73" i="868"/>
  <c r="E73" i="868"/>
  <c r="C73" i="868"/>
  <c r="A73" i="868"/>
  <c r="K72" i="868"/>
  <c r="I72" i="868"/>
  <c r="E72" i="868"/>
  <c r="C72" i="868"/>
  <c r="A72" i="868"/>
  <c r="K71" i="868"/>
  <c r="I71" i="868"/>
  <c r="E71" i="868"/>
  <c r="C71" i="868"/>
  <c r="A71" i="868"/>
  <c r="K70" i="868"/>
  <c r="I70" i="868"/>
  <c r="E70" i="868"/>
  <c r="C70" i="868"/>
  <c r="A70" i="868"/>
  <c r="K69" i="868"/>
  <c r="I69" i="868"/>
  <c r="E69" i="868"/>
  <c r="C69" i="868"/>
  <c r="A69" i="868"/>
  <c r="K68" i="868"/>
  <c r="I68" i="868"/>
  <c r="E68" i="868"/>
  <c r="C68" i="868"/>
  <c r="A68" i="868"/>
  <c r="AE65" i="868"/>
  <c r="AC65" i="868"/>
  <c r="AA65" i="868"/>
  <c r="Y65" i="868"/>
  <c r="V65" i="868"/>
  <c r="U65" i="868"/>
  <c r="T65" i="868"/>
  <c r="S65" i="868"/>
  <c r="Q65" i="868"/>
  <c r="P65" i="868"/>
  <c r="O65" i="868"/>
  <c r="N65" i="868"/>
  <c r="K65" i="868"/>
  <c r="I65" i="868"/>
  <c r="G65" i="868"/>
  <c r="E65" i="868"/>
  <c r="C65" i="868"/>
  <c r="A65" i="868"/>
  <c r="AE64" i="868"/>
  <c r="AC64" i="868"/>
  <c r="AA64" i="868"/>
  <c r="Y64" i="868"/>
  <c r="V64" i="868"/>
  <c r="U64" i="868"/>
  <c r="T64" i="868"/>
  <c r="S64" i="868"/>
  <c r="Q64" i="868"/>
  <c r="P64" i="868"/>
  <c r="O64" i="868"/>
  <c r="N64" i="868"/>
  <c r="K64" i="868"/>
  <c r="I64" i="868"/>
  <c r="G64" i="868"/>
  <c r="E64" i="868"/>
  <c r="C64" i="868"/>
  <c r="A64" i="868"/>
  <c r="AE63" i="868"/>
  <c r="AC63" i="868"/>
  <c r="AA63" i="868"/>
  <c r="Y63" i="868"/>
  <c r="V63" i="868"/>
  <c r="U63" i="868"/>
  <c r="T63" i="868"/>
  <c r="S63" i="868"/>
  <c r="Q63" i="868"/>
  <c r="P63" i="868"/>
  <c r="O63" i="868"/>
  <c r="N63" i="868"/>
  <c r="K63" i="868"/>
  <c r="I63" i="868"/>
  <c r="G63" i="868"/>
  <c r="E63" i="868"/>
  <c r="C63" i="868"/>
  <c r="A63" i="868"/>
  <c r="AE62" i="868"/>
  <c r="AC62" i="868"/>
  <c r="AA62" i="868"/>
  <c r="Y62" i="868"/>
  <c r="V62" i="868"/>
  <c r="U62" i="868"/>
  <c r="T62" i="868"/>
  <c r="S62" i="868"/>
  <c r="Q62" i="868"/>
  <c r="P62" i="868"/>
  <c r="O62" i="868"/>
  <c r="N62" i="868"/>
  <c r="K62" i="868"/>
  <c r="I62" i="868"/>
  <c r="G62" i="868"/>
  <c r="E62" i="868"/>
  <c r="C62" i="868"/>
  <c r="A62" i="868"/>
  <c r="AE61" i="868"/>
  <c r="AC61" i="868"/>
  <c r="AA61" i="868"/>
  <c r="Y61" i="868"/>
  <c r="V61" i="868"/>
  <c r="U61" i="868"/>
  <c r="T61" i="868"/>
  <c r="S61" i="868"/>
  <c r="Q61" i="868"/>
  <c r="P61" i="868"/>
  <c r="O61" i="868"/>
  <c r="N61" i="868"/>
  <c r="K61" i="868"/>
  <c r="I61" i="868"/>
  <c r="G61" i="868"/>
  <c r="E61" i="868"/>
  <c r="C61" i="868"/>
  <c r="A61" i="868"/>
  <c r="AE60" i="868"/>
  <c r="AC60" i="868"/>
  <c r="AA60" i="868"/>
  <c r="Y60" i="868"/>
  <c r="V60" i="868"/>
  <c r="U60" i="868"/>
  <c r="T60" i="868"/>
  <c r="S60" i="868"/>
  <c r="Q60" i="868"/>
  <c r="P60" i="868"/>
  <c r="O60" i="868"/>
  <c r="N60" i="868"/>
  <c r="K60" i="868"/>
  <c r="I60" i="868"/>
  <c r="G60" i="868"/>
  <c r="E60" i="868"/>
  <c r="J34" i="868"/>
  <c r="U19" i="257"/>
  <c r="C60" i="868"/>
  <c r="A60" i="868"/>
  <c r="AE59" i="868"/>
  <c r="AC59" i="868"/>
  <c r="AA59" i="868"/>
  <c r="Y59" i="868"/>
  <c r="V59" i="868"/>
  <c r="U59" i="868"/>
  <c r="T59" i="868"/>
  <c r="S59" i="868"/>
  <c r="Q59" i="868"/>
  <c r="P59" i="868"/>
  <c r="O59" i="868"/>
  <c r="N59" i="868"/>
  <c r="K59" i="868"/>
  <c r="I59" i="868"/>
  <c r="G59" i="868"/>
  <c r="K37" i="868"/>
  <c r="E59" i="868"/>
  <c r="C59" i="868"/>
  <c r="A59" i="868"/>
  <c r="AE58" i="868"/>
  <c r="AC58" i="868"/>
  <c r="AA58" i="868"/>
  <c r="Y58" i="868"/>
  <c r="V58" i="868"/>
  <c r="U58" i="868"/>
  <c r="T58" i="868"/>
  <c r="S58" i="868"/>
  <c r="Q58" i="868"/>
  <c r="P58" i="868"/>
  <c r="O58" i="868"/>
  <c r="N58" i="868"/>
  <c r="K58" i="868"/>
  <c r="I58" i="868"/>
  <c r="G58" i="868"/>
  <c r="E58" i="868"/>
  <c r="C58" i="868"/>
  <c r="A58" i="868"/>
  <c r="AE57" i="868"/>
  <c r="AC57" i="868"/>
  <c r="AA57" i="868"/>
  <c r="Y57" i="868"/>
  <c r="V57" i="868"/>
  <c r="U57" i="868"/>
  <c r="T57" i="868"/>
  <c r="S57" i="868"/>
  <c r="Q57" i="868"/>
  <c r="P57" i="868"/>
  <c r="O57" i="868"/>
  <c r="N57" i="868"/>
  <c r="K57" i="868"/>
  <c r="I57" i="868"/>
  <c r="P22" i="868"/>
  <c r="G57" i="868"/>
  <c r="E57" i="868"/>
  <c r="C57" i="868"/>
  <c r="A57" i="868"/>
  <c r="AE56" i="868"/>
  <c r="AC56" i="868"/>
  <c r="AA56" i="868"/>
  <c r="Y56" i="868"/>
  <c r="V56" i="868"/>
  <c r="U56" i="868"/>
  <c r="T56" i="868"/>
  <c r="S56" i="868"/>
  <c r="Q56" i="868"/>
  <c r="P56" i="868"/>
  <c r="O56" i="868"/>
  <c r="N56" i="868"/>
  <c r="K56" i="868"/>
  <c r="I56" i="868"/>
  <c r="G56" i="868"/>
  <c r="E56" i="868"/>
  <c r="C56" i="868"/>
  <c r="A56" i="868"/>
  <c r="AE55" i="868"/>
  <c r="AC55" i="868"/>
  <c r="AA55" i="868"/>
  <c r="Y55" i="868"/>
  <c r="V55" i="868"/>
  <c r="U55" i="868"/>
  <c r="T55" i="868"/>
  <c r="S55" i="868"/>
  <c r="Q55" i="868"/>
  <c r="P55" i="868"/>
  <c r="O55" i="868"/>
  <c r="N55" i="868"/>
  <c r="K55" i="868"/>
  <c r="I55" i="868"/>
  <c r="G55" i="868"/>
  <c r="E55" i="868"/>
  <c r="C55" i="868"/>
  <c r="A55" i="868"/>
  <c r="AE54" i="868"/>
  <c r="AC54" i="868"/>
  <c r="AA54" i="868"/>
  <c r="Y54" i="868"/>
  <c r="V54" i="868"/>
  <c r="U54" i="868"/>
  <c r="T54" i="868"/>
  <c r="S54" i="868"/>
  <c r="S66" i="868"/>
  <c r="Q54" i="868"/>
  <c r="P54" i="868"/>
  <c r="O54" i="868"/>
  <c r="N54" i="868"/>
  <c r="K54" i="868"/>
  <c r="I54" i="868"/>
  <c r="G54" i="868"/>
  <c r="E54" i="868"/>
  <c r="C54" i="868"/>
  <c r="A54" i="868"/>
  <c r="T27" i="868"/>
  <c r="AF19" i="258"/>
  <c r="T28" i="259"/>
  <c r="S27" i="868"/>
  <c r="AE19" i="258"/>
  <c r="T27" i="259"/>
  <c r="O22" i="868"/>
  <c r="A19" i="868"/>
  <c r="T20" i="868"/>
  <c r="Y16" i="868"/>
  <c r="X16" i="868"/>
  <c r="AG19" i="258"/>
  <c r="T29" i="259"/>
  <c r="W16" i="868"/>
  <c r="V16" i="868"/>
  <c r="AA19" i="258"/>
  <c r="T23" i="259"/>
  <c r="U16" i="868"/>
  <c r="S16" i="868"/>
  <c r="S20" i="868"/>
  <c r="X19" i="258"/>
  <c r="T20" i="259"/>
  <c r="R16" i="868"/>
  <c r="Q16" i="868"/>
  <c r="P16" i="868"/>
  <c r="O16" i="868"/>
  <c r="N16" i="868"/>
  <c r="M16" i="868"/>
  <c r="L16" i="868"/>
  <c r="K16" i="868"/>
  <c r="J16" i="868"/>
  <c r="I16" i="868"/>
  <c r="H16" i="868"/>
  <c r="F16" i="868"/>
  <c r="E16" i="868"/>
  <c r="C16" i="868"/>
  <c r="H94" i="867"/>
  <c r="F94" i="867"/>
  <c r="D94" i="867"/>
  <c r="B94" i="867"/>
  <c r="K79" i="867"/>
  <c r="I79" i="867"/>
  <c r="E79" i="867"/>
  <c r="C79" i="867"/>
  <c r="A79" i="867"/>
  <c r="K78" i="867"/>
  <c r="I78" i="867"/>
  <c r="E78" i="867"/>
  <c r="C78" i="867"/>
  <c r="A78" i="867"/>
  <c r="K77" i="867"/>
  <c r="I77" i="867"/>
  <c r="E77" i="867"/>
  <c r="C77" i="867"/>
  <c r="A77" i="867"/>
  <c r="K76" i="867"/>
  <c r="I76" i="867"/>
  <c r="E76" i="867"/>
  <c r="C76" i="867"/>
  <c r="A76" i="867"/>
  <c r="K75" i="867"/>
  <c r="I75" i="867"/>
  <c r="E75" i="867"/>
  <c r="C75" i="867"/>
  <c r="A75" i="867"/>
  <c r="K74" i="867"/>
  <c r="I74" i="867"/>
  <c r="E74" i="867"/>
  <c r="C74" i="867"/>
  <c r="A74" i="867"/>
  <c r="K73" i="867"/>
  <c r="I73" i="867"/>
  <c r="E73" i="867"/>
  <c r="C73" i="867"/>
  <c r="A73" i="867"/>
  <c r="K72" i="867"/>
  <c r="I72" i="867"/>
  <c r="E72" i="867"/>
  <c r="C72" i="867"/>
  <c r="A72" i="867"/>
  <c r="K71" i="867"/>
  <c r="I71" i="867"/>
  <c r="E71" i="867"/>
  <c r="C71" i="867"/>
  <c r="A71" i="867"/>
  <c r="K70" i="867"/>
  <c r="I70" i="867"/>
  <c r="E70" i="867"/>
  <c r="C70" i="867"/>
  <c r="A70" i="867"/>
  <c r="K69" i="867"/>
  <c r="I69" i="867"/>
  <c r="E69" i="867"/>
  <c r="C69" i="867"/>
  <c r="A69" i="867"/>
  <c r="K68" i="867"/>
  <c r="I68" i="867"/>
  <c r="E68" i="867"/>
  <c r="C68" i="867"/>
  <c r="A68" i="867"/>
  <c r="AE65" i="867"/>
  <c r="AC65" i="867"/>
  <c r="AA65" i="867"/>
  <c r="Y65" i="867"/>
  <c r="V65" i="867"/>
  <c r="U65" i="867"/>
  <c r="T65" i="867"/>
  <c r="S65" i="867"/>
  <c r="Q65" i="867"/>
  <c r="P65" i="867"/>
  <c r="O65" i="867"/>
  <c r="N65" i="867"/>
  <c r="K65" i="867"/>
  <c r="I65" i="867"/>
  <c r="G65" i="867"/>
  <c r="E65" i="867"/>
  <c r="C65" i="867"/>
  <c r="A65" i="867"/>
  <c r="AE64" i="867"/>
  <c r="AC64" i="867"/>
  <c r="AA64" i="867"/>
  <c r="Y64" i="867"/>
  <c r="V64" i="867"/>
  <c r="U64" i="867"/>
  <c r="T64" i="867"/>
  <c r="S64" i="867"/>
  <c r="Q64" i="867"/>
  <c r="P64" i="867"/>
  <c r="O64" i="867"/>
  <c r="N64" i="867"/>
  <c r="K64" i="867"/>
  <c r="I64" i="867"/>
  <c r="G64" i="867"/>
  <c r="E64" i="867"/>
  <c r="C64" i="867"/>
  <c r="A64" i="867"/>
  <c r="AE63" i="867"/>
  <c r="AC63" i="867"/>
  <c r="AA63" i="867"/>
  <c r="Y63" i="867"/>
  <c r="V63" i="867"/>
  <c r="U63" i="867"/>
  <c r="T63" i="867"/>
  <c r="S63" i="867"/>
  <c r="Q63" i="867"/>
  <c r="P63" i="867"/>
  <c r="O63" i="867"/>
  <c r="N63" i="867"/>
  <c r="K63" i="867"/>
  <c r="I63" i="867"/>
  <c r="G63" i="867"/>
  <c r="E63" i="867"/>
  <c r="C63" i="867"/>
  <c r="A63" i="867"/>
  <c r="AE62" i="867"/>
  <c r="AC62" i="867"/>
  <c r="AA62" i="867"/>
  <c r="Y62" i="867"/>
  <c r="V62" i="867"/>
  <c r="U62" i="867"/>
  <c r="T62" i="867"/>
  <c r="S62" i="867"/>
  <c r="Q62" i="867"/>
  <c r="P62" i="867"/>
  <c r="O62" i="867"/>
  <c r="N62" i="867"/>
  <c r="K62" i="867"/>
  <c r="I62" i="867"/>
  <c r="G62" i="867"/>
  <c r="E62" i="867"/>
  <c r="C62" i="867"/>
  <c r="A62" i="867"/>
  <c r="AE61" i="867"/>
  <c r="AC61" i="867"/>
  <c r="AA61" i="867"/>
  <c r="Y61" i="867"/>
  <c r="V61" i="867"/>
  <c r="U61" i="867"/>
  <c r="T61" i="867"/>
  <c r="S61" i="867"/>
  <c r="Q61" i="867"/>
  <c r="P61" i="867"/>
  <c r="O61" i="867"/>
  <c r="N61" i="867"/>
  <c r="K61" i="867"/>
  <c r="I61" i="867"/>
  <c r="G61" i="867"/>
  <c r="E61" i="867"/>
  <c r="C61" i="867"/>
  <c r="A61" i="867"/>
  <c r="AE60" i="867"/>
  <c r="AC60" i="867"/>
  <c r="AA60" i="867"/>
  <c r="Y60" i="867"/>
  <c r="V60" i="867"/>
  <c r="U60" i="867"/>
  <c r="T60" i="867"/>
  <c r="S60" i="867"/>
  <c r="Q60" i="867"/>
  <c r="P60" i="867"/>
  <c r="O60" i="867"/>
  <c r="N60" i="867"/>
  <c r="K60" i="867"/>
  <c r="I60" i="867"/>
  <c r="G60" i="867"/>
  <c r="E60" i="867"/>
  <c r="C60" i="867"/>
  <c r="A60" i="867"/>
  <c r="AE59" i="867"/>
  <c r="AC59" i="867"/>
  <c r="AA59" i="867"/>
  <c r="Y59" i="867"/>
  <c r="V59" i="867"/>
  <c r="U59" i="867"/>
  <c r="T59" i="867"/>
  <c r="S59" i="867"/>
  <c r="Q59" i="867"/>
  <c r="P59" i="867"/>
  <c r="O59" i="867"/>
  <c r="N59" i="867"/>
  <c r="K59" i="867"/>
  <c r="I59" i="867"/>
  <c r="G59" i="867"/>
  <c r="K37" i="867"/>
  <c r="E59" i="867"/>
  <c r="J34" i="867"/>
  <c r="U20" i="257"/>
  <c r="C59" i="867"/>
  <c r="A59" i="867"/>
  <c r="AE58" i="867"/>
  <c r="AC58" i="867"/>
  <c r="AA58" i="867"/>
  <c r="Y58" i="867"/>
  <c r="V58" i="867"/>
  <c r="U58" i="867"/>
  <c r="T58" i="867"/>
  <c r="S58" i="867"/>
  <c r="Q58" i="867"/>
  <c r="P58" i="867"/>
  <c r="O58" i="867"/>
  <c r="N58" i="867"/>
  <c r="K58" i="867"/>
  <c r="I58" i="867"/>
  <c r="G58" i="867"/>
  <c r="E58" i="867"/>
  <c r="C58" i="867"/>
  <c r="A58" i="867"/>
  <c r="AE57" i="867"/>
  <c r="AC57" i="867"/>
  <c r="AA57" i="867"/>
  <c r="Y57" i="867"/>
  <c r="V57" i="867"/>
  <c r="U57" i="867"/>
  <c r="T57" i="867"/>
  <c r="S57" i="867"/>
  <c r="Q57" i="867"/>
  <c r="P57" i="867"/>
  <c r="O57" i="867"/>
  <c r="N57" i="867"/>
  <c r="K57" i="867"/>
  <c r="I57" i="867"/>
  <c r="O22" i="867"/>
  <c r="G57" i="867"/>
  <c r="E57" i="867"/>
  <c r="C57" i="867"/>
  <c r="A57" i="867"/>
  <c r="AE56" i="867"/>
  <c r="AC56" i="867"/>
  <c r="AA56" i="867"/>
  <c r="Y56" i="867"/>
  <c r="V56" i="867"/>
  <c r="U56" i="867"/>
  <c r="T56" i="867"/>
  <c r="S56" i="867"/>
  <c r="Q56" i="867"/>
  <c r="P56" i="867"/>
  <c r="O56" i="867"/>
  <c r="N56" i="867"/>
  <c r="K56" i="867"/>
  <c r="I56" i="867"/>
  <c r="G56" i="867"/>
  <c r="E56" i="867"/>
  <c r="C56" i="867"/>
  <c r="A56" i="867"/>
  <c r="AE55" i="867"/>
  <c r="AC55" i="867"/>
  <c r="AA55" i="867"/>
  <c r="Y55" i="867"/>
  <c r="V55" i="867"/>
  <c r="U55" i="867"/>
  <c r="T55" i="867"/>
  <c r="S55" i="867"/>
  <c r="Q55" i="867"/>
  <c r="P55" i="867"/>
  <c r="O55" i="867"/>
  <c r="N55" i="867"/>
  <c r="K55" i="867"/>
  <c r="I55" i="867"/>
  <c r="G55" i="867"/>
  <c r="E55" i="867"/>
  <c r="C55" i="867"/>
  <c r="A55" i="867"/>
  <c r="AE54" i="867"/>
  <c r="AC54" i="867"/>
  <c r="AA54" i="867"/>
  <c r="Y54" i="867"/>
  <c r="V54" i="867"/>
  <c r="U54" i="867"/>
  <c r="T54" i="867"/>
  <c r="S54" i="867"/>
  <c r="Q54" i="867"/>
  <c r="P54" i="867"/>
  <c r="O54" i="867"/>
  <c r="N54" i="867"/>
  <c r="K54" i="867"/>
  <c r="I54" i="867"/>
  <c r="G54" i="867"/>
  <c r="E54" i="867"/>
  <c r="C54" i="867"/>
  <c r="A54" i="867"/>
  <c r="T27" i="867"/>
  <c r="AF20" i="258"/>
  <c r="S27" i="867"/>
  <c r="AE20" i="258"/>
  <c r="E20" i="257"/>
  <c r="A19" i="867"/>
  <c r="T20" i="867"/>
  <c r="Y16" i="867"/>
  <c r="X16" i="867"/>
  <c r="AG20" i="258"/>
  <c r="W16" i="867"/>
  <c r="V16" i="867"/>
  <c r="U16" i="867"/>
  <c r="S16" i="867"/>
  <c r="S20" i="867"/>
  <c r="X20" i="258"/>
  <c r="R16" i="867"/>
  <c r="Q16" i="867"/>
  <c r="P16" i="867"/>
  <c r="O16" i="867"/>
  <c r="N16" i="867"/>
  <c r="M16" i="867"/>
  <c r="L16" i="867"/>
  <c r="K16" i="867"/>
  <c r="J16" i="867"/>
  <c r="I16" i="867"/>
  <c r="H16" i="867"/>
  <c r="F16" i="867"/>
  <c r="E16" i="867"/>
  <c r="B20" i="258"/>
  <c r="C16" i="867"/>
  <c r="H94" i="866"/>
  <c r="F94" i="866"/>
  <c r="D94" i="866"/>
  <c r="B94" i="866"/>
  <c r="K79" i="866"/>
  <c r="I79" i="866"/>
  <c r="E79" i="866"/>
  <c r="C79" i="866"/>
  <c r="A79" i="866"/>
  <c r="K78" i="866"/>
  <c r="I78" i="866"/>
  <c r="E78" i="866"/>
  <c r="C78" i="866"/>
  <c r="A78" i="866"/>
  <c r="K77" i="866"/>
  <c r="I77" i="866"/>
  <c r="E77" i="866"/>
  <c r="C77" i="866"/>
  <c r="A77" i="866"/>
  <c r="K76" i="866"/>
  <c r="I76" i="866"/>
  <c r="E76" i="866"/>
  <c r="C76" i="866"/>
  <c r="A76" i="866"/>
  <c r="K75" i="866"/>
  <c r="I75" i="866"/>
  <c r="E75" i="866"/>
  <c r="C75" i="866"/>
  <c r="A75" i="866"/>
  <c r="K74" i="866"/>
  <c r="I74" i="866"/>
  <c r="E74" i="866"/>
  <c r="C74" i="866"/>
  <c r="A74" i="866"/>
  <c r="K73" i="866"/>
  <c r="I73" i="866"/>
  <c r="E73" i="866"/>
  <c r="C73" i="866"/>
  <c r="A73" i="866"/>
  <c r="K72" i="866"/>
  <c r="I72" i="866"/>
  <c r="E72" i="866"/>
  <c r="C72" i="866"/>
  <c r="A72" i="866"/>
  <c r="K71" i="866"/>
  <c r="I71" i="866"/>
  <c r="E71" i="866"/>
  <c r="C71" i="866"/>
  <c r="A71" i="866"/>
  <c r="K70" i="866"/>
  <c r="I70" i="866"/>
  <c r="E70" i="866"/>
  <c r="C70" i="866"/>
  <c r="A70" i="866"/>
  <c r="K69" i="866"/>
  <c r="I69" i="866"/>
  <c r="E69" i="866"/>
  <c r="C69" i="866"/>
  <c r="A69" i="866"/>
  <c r="K68" i="866"/>
  <c r="I68" i="866"/>
  <c r="E68" i="866"/>
  <c r="C68" i="866"/>
  <c r="A68" i="866"/>
  <c r="AE65" i="866"/>
  <c r="AC65" i="866"/>
  <c r="AA65" i="866"/>
  <c r="Y65" i="866"/>
  <c r="V65" i="866"/>
  <c r="U65" i="866"/>
  <c r="T65" i="866"/>
  <c r="S65" i="866"/>
  <c r="Q65" i="866"/>
  <c r="P65" i="866"/>
  <c r="O65" i="866"/>
  <c r="N65" i="866"/>
  <c r="K65" i="866"/>
  <c r="I65" i="866"/>
  <c r="G65" i="866"/>
  <c r="E65" i="866"/>
  <c r="C65" i="866"/>
  <c r="A65" i="866"/>
  <c r="AE64" i="866"/>
  <c r="AC64" i="866"/>
  <c r="AA64" i="866"/>
  <c r="Y64" i="866"/>
  <c r="V64" i="866"/>
  <c r="U64" i="866"/>
  <c r="T64" i="866"/>
  <c r="S64" i="866"/>
  <c r="Q64" i="866"/>
  <c r="P64" i="866"/>
  <c r="O64" i="866"/>
  <c r="N64" i="866"/>
  <c r="K64" i="866"/>
  <c r="I64" i="866"/>
  <c r="G64" i="866"/>
  <c r="E64" i="866"/>
  <c r="C64" i="866"/>
  <c r="A64" i="866"/>
  <c r="AE63" i="866"/>
  <c r="AC63" i="866"/>
  <c r="AA63" i="866"/>
  <c r="Y63" i="866"/>
  <c r="V63" i="866"/>
  <c r="U63" i="866"/>
  <c r="T63" i="866"/>
  <c r="S63" i="866"/>
  <c r="Q63" i="866"/>
  <c r="P63" i="866"/>
  <c r="O63" i="866"/>
  <c r="N63" i="866"/>
  <c r="K63" i="866"/>
  <c r="I63" i="866"/>
  <c r="G63" i="866"/>
  <c r="E63" i="866"/>
  <c r="C63" i="866"/>
  <c r="A63" i="866"/>
  <c r="AE62" i="866"/>
  <c r="AC62" i="866"/>
  <c r="AA62" i="866"/>
  <c r="Y62" i="866"/>
  <c r="V62" i="866"/>
  <c r="U62" i="866"/>
  <c r="T62" i="866"/>
  <c r="S62" i="866"/>
  <c r="Q62" i="866"/>
  <c r="P62" i="866"/>
  <c r="O62" i="866"/>
  <c r="N62" i="866"/>
  <c r="K62" i="866"/>
  <c r="I62" i="866"/>
  <c r="G62" i="866"/>
  <c r="E62" i="866"/>
  <c r="C62" i="866"/>
  <c r="A62" i="866"/>
  <c r="AE61" i="866"/>
  <c r="AC61" i="866"/>
  <c r="AA61" i="866"/>
  <c r="Y61" i="866"/>
  <c r="V61" i="866"/>
  <c r="U61" i="866"/>
  <c r="T61" i="866"/>
  <c r="S61" i="866"/>
  <c r="Q61" i="866"/>
  <c r="P61" i="866"/>
  <c r="O61" i="866"/>
  <c r="N61" i="866"/>
  <c r="K61" i="866"/>
  <c r="I61" i="866"/>
  <c r="G61" i="866"/>
  <c r="E61" i="866"/>
  <c r="C61" i="866"/>
  <c r="A61" i="866"/>
  <c r="AE60" i="866"/>
  <c r="AC60" i="866"/>
  <c r="AA60" i="866"/>
  <c r="Y60" i="866"/>
  <c r="V60" i="866"/>
  <c r="U60" i="866"/>
  <c r="T60" i="866"/>
  <c r="S60" i="866"/>
  <c r="Q60" i="866"/>
  <c r="P60" i="866"/>
  <c r="O60" i="866"/>
  <c r="N60" i="866"/>
  <c r="K60" i="866"/>
  <c r="I60" i="866"/>
  <c r="G60" i="866"/>
  <c r="E60" i="866"/>
  <c r="C60" i="866"/>
  <c r="A60" i="866"/>
  <c r="AE59" i="866"/>
  <c r="AC59" i="866"/>
  <c r="AA59" i="866"/>
  <c r="Y59" i="866"/>
  <c r="V59" i="866"/>
  <c r="U59" i="866"/>
  <c r="T59" i="866"/>
  <c r="S59" i="866"/>
  <c r="Q59" i="866"/>
  <c r="P59" i="866"/>
  <c r="O59" i="866"/>
  <c r="N59" i="866"/>
  <c r="K59" i="866"/>
  <c r="I59" i="866"/>
  <c r="G59" i="866"/>
  <c r="E59" i="866"/>
  <c r="C59" i="866"/>
  <c r="A59" i="866"/>
  <c r="AE58" i="866"/>
  <c r="AC58" i="866"/>
  <c r="AA58" i="866"/>
  <c r="Y58" i="866"/>
  <c r="V58" i="866"/>
  <c r="U58" i="866"/>
  <c r="T58" i="866"/>
  <c r="S58" i="866"/>
  <c r="Q58" i="866"/>
  <c r="P58" i="866"/>
  <c r="O58" i="866"/>
  <c r="N58" i="866"/>
  <c r="K58" i="866"/>
  <c r="I58" i="866"/>
  <c r="G58" i="866"/>
  <c r="E58" i="866"/>
  <c r="C58" i="866"/>
  <c r="A58" i="866"/>
  <c r="AE57" i="866"/>
  <c r="AC57" i="866"/>
  <c r="AA57" i="866"/>
  <c r="Y57" i="866"/>
  <c r="V57" i="866"/>
  <c r="U57" i="866"/>
  <c r="T57" i="866"/>
  <c r="S57" i="866"/>
  <c r="Q57" i="866"/>
  <c r="P57" i="866"/>
  <c r="O57" i="866"/>
  <c r="N57" i="866"/>
  <c r="K57" i="866"/>
  <c r="I57" i="866"/>
  <c r="G57" i="866"/>
  <c r="E57" i="866"/>
  <c r="C57" i="866"/>
  <c r="A57" i="866"/>
  <c r="AE56" i="866"/>
  <c r="AC56" i="866"/>
  <c r="AA56" i="866"/>
  <c r="Y56" i="866"/>
  <c r="V56" i="866"/>
  <c r="U56" i="866"/>
  <c r="T56" i="866"/>
  <c r="S56" i="866"/>
  <c r="Q56" i="866"/>
  <c r="P56" i="866"/>
  <c r="O56" i="866"/>
  <c r="N56" i="866"/>
  <c r="K56" i="866"/>
  <c r="I56" i="866"/>
  <c r="G56" i="866"/>
  <c r="E56" i="866"/>
  <c r="I34" i="866"/>
  <c r="T21" i="257"/>
  <c r="C56" i="866"/>
  <c r="A56" i="866"/>
  <c r="AE55" i="866"/>
  <c r="AC55" i="866"/>
  <c r="AA55" i="866"/>
  <c r="Y55" i="866"/>
  <c r="V55" i="866"/>
  <c r="U55" i="866"/>
  <c r="T55" i="866"/>
  <c r="S55" i="866"/>
  <c r="Q55" i="866"/>
  <c r="P55" i="866"/>
  <c r="O55" i="866"/>
  <c r="N55" i="866"/>
  <c r="K55" i="866"/>
  <c r="I55" i="866"/>
  <c r="G55" i="866"/>
  <c r="E55" i="866"/>
  <c r="C55" i="866"/>
  <c r="J29" i="866"/>
  <c r="P21" i="257"/>
  <c r="A55" i="866"/>
  <c r="AE54" i="866"/>
  <c r="AC54" i="866"/>
  <c r="AA54" i="866"/>
  <c r="AA66" i="866"/>
  <c r="Y54" i="866"/>
  <c r="Y66" i="866"/>
  <c r="V54" i="866"/>
  <c r="U54" i="866"/>
  <c r="T54" i="866"/>
  <c r="T66" i="866"/>
  <c r="S54" i="866"/>
  <c r="Q54" i="866"/>
  <c r="P54" i="866"/>
  <c r="O54" i="866"/>
  <c r="N54" i="866"/>
  <c r="K54" i="866"/>
  <c r="I54" i="866"/>
  <c r="G54" i="866"/>
  <c r="E54" i="866"/>
  <c r="C54" i="866"/>
  <c r="A54" i="866"/>
  <c r="K37" i="866"/>
  <c r="J34" i="866"/>
  <c r="U21" i="257"/>
  <c r="T27" i="866"/>
  <c r="AF21" i="258"/>
  <c r="S27" i="866"/>
  <c r="AE21" i="258"/>
  <c r="A19" i="866"/>
  <c r="T20" i="866"/>
  <c r="Y16" i="866"/>
  <c r="X16" i="866"/>
  <c r="AG21" i="258"/>
  <c r="W16" i="866"/>
  <c r="V16" i="866"/>
  <c r="U16" i="866"/>
  <c r="S16" i="866"/>
  <c r="S20" i="866"/>
  <c r="X21" i="258"/>
  <c r="R16" i="866"/>
  <c r="Q16" i="866"/>
  <c r="P16" i="866"/>
  <c r="O16" i="866"/>
  <c r="N16" i="866"/>
  <c r="M16" i="866"/>
  <c r="L16" i="866"/>
  <c r="K16" i="866"/>
  <c r="J16" i="866"/>
  <c r="I16" i="866"/>
  <c r="H16" i="866"/>
  <c r="F16" i="866"/>
  <c r="E16" i="866"/>
  <c r="C16" i="866"/>
  <c r="H94" i="865"/>
  <c r="F94" i="865"/>
  <c r="D94" i="865"/>
  <c r="B94" i="865"/>
  <c r="K79" i="865"/>
  <c r="I79" i="865"/>
  <c r="E79" i="865"/>
  <c r="C79" i="865"/>
  <c r="A79" i="865"/>
  <c r="K78" i="865"/>
  <c r="I78" i="865"/>
  <c r="E78" i="865"/>
  <c r="C78" i="865"/>
  <c r="A78" i="865"/>
  <c r="K77" i="865"/>
  <c r="I77" i="865"/>
  <c r="E77" i="865"/>
  <c r="C77" i="865"/>
  <c r="A77" i="865"/>
  <c r="K76" i="865"/>
  <c r="I76" i="865"/>
  <c r="E76" i="865"/>
  <c r="C76" i="865"/>
  <c r="A76" i="865"/>
  <c r="K75" i="865"/>
  <c r="I75" i="865"/>
  <c r="E75" i="865"/>
  <c r="C75" i="865"/>
  <c r="A75" i="865"/>
  <c r="K74" i="865"/>
  <c r="I74" i="865"/>
  <c r="E74" i="865"/>
  <c r="C74" i="865"/>
  <c r="A74" i="865"/>
  <c r="K73" i="865"/>
  <c r="I73" i="865"/>
  <c r="E73" i="865"/>
  <c r="C73" i="865"/>
  <c r="A73" i="865"/>
  <c r="K72" i="865"/>
  <c r="I72" i="865"/>
  <c r="E72" i="865"/>
  <c r="C72" i="865"/>
  <c r="A72" i="865"/>
  <c r="K71" i="865"/>
  <c r="I71" i="865"/>
  <c r="E71" i="865"/>
  <c r="C71" i="865"/>
  <c r="A71" i="865"/>
  <c r="K70" i="865"/>
  <c r="I70" i="865"/>
  <c r="E70" i="865"/>
  <c r="C70" i="865"/>
  <c r="A70" i="865"/>
  <c r="K69" i="865"/>
  <c r="I69" i="865"/>
  <c r="E69" i="865"/>
  <c r="C69" i="865"/>
  <c r="A69" i="865"/>
  <c r="K68" i="865"/>
  <c r="I68" i="865"/>
  <c r="E68" i="865"/>
  <c r="C68" i="865"/>
  <c r="A68" i="865"/>
  <c r="AE65" i="865"/>
  <c r="AC65" i="865"/>
  <c r="AA65" i="865"/>
  <c r="Y65" i="865"/>
  <c r="V65" i="865"/>
  <c r="U65" i="865"/>
  <c r="T65" i="865"/>
  <c r="S65" i="865"/>
  <c r="Q65" i="865"/>
  <c r="P65" i="865"/>
  <c r="O65" i="865"/>
  <c r="N65" i="865"/>
  <c r="K65" i="865"/>
  <c r="I65" i="865"/>
  <c r="G65" i="865"/>
  <c r="E65" i="865"/>
  <c r="C65" i="865"/>
  <c r="A65" i="865"/>
  <c r="AE64" i="865"/>
  <c r="AC64" i="865"/>
  <c r="AA64" i="865"/>
  <c r="Y64" i="865"/>
  <c r="V64" i="865"/>
  <c r="U64" i="865"/>
  <c r="T64" i="865"/>
  <c r="S64" i="865"/>
  <c r="Q64" i="865"/>
  <c r="P64" i="865"/>
  <c r="O64" i="865"/>
  <c r="N64" i="865"/>
  <c r="K64" i="865"/>
  <c r="I64" i="865"/>
  <c r="G64" i="865"/>
  <c r="E64" i="865"/>
  <c r="C64" i="865"/>
  <c r="A64" i="865"/>
  <c r="AE63" i="865"/>
  <c r="AC63" i="865"/>
  <c r="AA63" i="865"/>
  <c r="Y63" i="865"/>
  <c r="V63" i="865"/>
  <c r="U63" i="865"/>
  <c r="T63" i="865"/>
  <c r="S63" i="865"/>
  <c r="Q63" i="865"/>
  <c r="P63" i="865"/>
  <c r="O63" i="865"/>
  <c r="N63" i="865"/>
  <c r="K63" i="865"/>
  <c r="I63" i="865"/>
  <c r="G63" i="865"/>
  <c r="E63" i="865"/>
  <c r="C63" i="865"/>
  <c r="A63" i="865"/>
  <c r="AE62" i="865"/>
  <c r="AC62" i="865"/>
  <c r="AA62" i="865"/>
  <c r="Y62" i="865"/>
  <c r="V62" i="865"/>
  <c r="U62" i="865"/>
  <c r="T62" i="865"/>
  <c r="S62" i="865"/>
  <c r="Q62" i="865"/>
  <c r="P62" i="865"/>
  <c r="O62" i="865"/>
  <c r="N62" i="865"/>
  <c r="K62" i="865"/>
  <c r="I62" i="865"/>
  <c r="G62" i="865"/>
  <c r="E62" i="865"/>
  <c r="C62" i="865"/>
  <c r="A62" i="865"/>
  <c r="AE61" i="865"/>
  <c r="AC61" i="865"/>
  <c r="AA61" i="865"/>
  <c r="Y61" i="865"/>
  <c r="V61" i="865"/>
  <c r="U61" i="865"/>
  <c r="T61" i="865"/>
  <c r="S61" i="865"/>
  <c r="Q61" i="865"/>
  <c r="P61" i="865"/>
  <c r="O61" i="865"/>
  <c r="N61" i="865"/>
  <c r="K61" i="865"/>
  <c r="I61" i="865"/>
  <c r="G61" i="865"/>
  <c r="E61" i="865"/>
  <c r="C61" i="865"/>
  <c r="A61" i="865"/>
  <c r="AE60" i="865"/>
  <c r="AC60" i="865"/>
  <c r="AA60" i="865"/>
  <c r="Y60" i="865"/>
  <c r="V60" i="865"/>
  <c r="U60" i="865"/>
  <c r="T60" i="865"/>
  <c r="S60" i="865"/>
  <c r="Q60" i="865"/>
  <c r="P60" i="865"/>
  <c r="O60" i="865"/>
  <c r="N60" i="865"/>
  <c r="K60" i="865"/>
  <c r="I60" i="865"/>
  <c r="G60" i="865"/>
  <c r="E60" i="865"/>
  <c r="C60" i="865"/>
  <c r="A60" i="865"/>
  <c r="AE59" i="865"/>
  <c r="AC59" i="865"/>
  <c r="AA59" i="865"/>
  <c r="Y59" i="865"/>
  <c r="V59" i="865"/>
  <c r="U59" i="865"/>
  <c r="T59" i="865"/>
  <c r="S59" i="865"/>
  <c r="Q59" i="865"/>
  <c r="P59" i="865"/>
  <c r="O59" i="865"/>
  <c r="N59" i="865"/>
  <c r="K59" i="865"/>
  <c r="I59" i="865"/>
  <c r="G59" i="865"/>
  <c r="E59" i="865"/>
  <c r="C59" i="865"/>
  <c r="A59" i="865"/>
  <c r="AE58" i="865"/>
  <c r="AC58" i="865"/>
  <c r="AA58" i="865"/>
  <c r="Y58" i="865"/>
  <c r="V58" i="865"/>
  <c r="U58" i="865"/>
  <c r="T58" i="865"/>
  <c r="S58" i="865"/>
  <c r="Q58" i="865"/>
  <c r="P58" i="865"/>
  <c r="O58" i="865"/>
  <c r="N58" i="865"/>
  <c r="K58" i="865"/>
  <c r="I58" i="865"/>
  <c r="G58" i="865"/>
  <c r="E58" i="865"/>
  <c r="C58" i="865"/>
  <c r="A58" i="865"/>
  <c r="AE57" i="865"/>
  <c r="AC57" i="865"/>
  <c r="AA57" i="865"/>
  <c r="Y57" i="865"/>
  <c r="V57" i="865"/>
  <c r="U57" i="865"/>
  <c r="T57" i="865"/>
  <c r="S57" i="865"/>
  <c r="Q57" i="865"/>
  <c r="P57" i="865"/>
  <c r="O57" i="865"/>
  <c r="N57" i="865"/>
  <c r="K57" i="865"/>
  <c r="I57" i="865"/>
  <c r="G57" i="865"/>
  <c r="E57" i="865"/>
  <c r="C57" i="865"/>
  <c r="A57" i="865"/>
  <c r="AE56" i="865"/>
  <c r="AC56" i="865"/>
  <c r="AA56" i="865"/>
  <c r="Y56" i="865"/>
  <c r="V56" i="865"/>
  <c r="U56" i="865"/>
  <c r="T56" i="865"/>
  <c r="S56" i="865"/>
  <c r="Q56" i="865"/>
  <c r="P56" i="865"/>
  <c r="O56" i="865"/>
  <c r="N56" i="865"/>
  <c r="K56" i="865"/>
  <c r="I56" i="865"/>
  <c r="G56" i="865"/>
  <c r="E56" i="865"/>
  <c r="C56" i="865"/>
  <c r="A56" i="865"/>
  <c r="J24" i="865"/>
  <c r="H22" i="258"/>
  <c r="AE55" i="865"/>
  <c r="AC55" i="865"/>
  <c r="AA55" i="865"/>
  <c r="Y55" i="865"/>
  <c r="V55" i="865"/>
  <c r="U55" i="865"/>
  <c r="T55" i="865"/>
  <c r="S55" i="865"/>
  <c r="Q55" i="865"/>
  <c r="P55" i="865"/>
  <c r="O55" i="865"/>
  <c r="N55" i="865"/>
  <c r="K55" i="865"/>
  <c r="N25" i="865"/>
  <c r="I55" i="865"/>
  <c r="G55" i="865"/>
  <c r="E55" i="865"/>
  <c r="C55" i="865"/>
  <c r="A55" i="865"/>
  <c r="AE54" i="865"/>
  <c r="AC54" i="865"/>
  <c r="AA54" i="865"/>
  <c r="Y54" i="865"/>
  <c r="V54" i="865"/>
  <c r="U54" i="865"/>
  <c r="T54" i="865"/>
  <c r="S54" i="865"/>
  <c r="Q54" i="865"/>
  <c r="P54" i="865"/>
  <c r="O54" i="865"/>
  <c r="N54" i="865"/>
  <c r="N66" i="865"/>
  <c r="K54" i="865"/>
  <c r="I54" i="865"/>
  <c r="G54" i="865"/>
  <c r="E54" i="865"/>
  <c r="C54" i="865"/>
  <c r="A54" i="865"/>
  <c r="I24" i="865"/>
  <c r="G22" i="258"/>
  <c r="T27" i="865"/>
  <c r="AF22" i="258"/>
  <c r="S27" i="865"/>
  <c r="AE22" i="258"/>
  <c r="A19" i="865"/>
  <c r="T20" i="865"/>
  <c r="Y16" i="865"/>
  <c r="X16" i="865"/>
  <c r="AG22" i="258"/>
  <c r="W16" i="865"/>
  <c r="V16" i="865"/>
  <c r="U16" i="865"/>
  <c r="S16" i="865"/>
  <c r="S20" i="865"/>
  <c r="X22" i="258"/>
  <c r="R16" i="865"/>
  <c r="Q16" i="865"/>
  <c r="P16" i="865"/>
  <c r="O16" i="865"/>
  <c r="N16" i="865"/>
  <c r="M16" i="865"/>
  <c r="L16" i="865"/>
  <c r="K16" i="865"/>
  <c r="J16" i="865"/>
  <c r="I16" i="865"/>
  <c r="H16" i="865"/>
  <c r="F16" i="865"/>
  <c r="E16" i="865"/>
  <c r="C16" i="865"/>
  <c r="H94" i="864"/>
  <c r="F94" i="864"/>
  <c r="D94" i="864"/>
  <c r="B94" i="864"/>
  <c r="K79" i="864"/>
  <c r="I79" i="864"/>
  <c r="E79" i="864"/>
  <c r="C79" i="864"/>
  <c r="A79" i="864"/>
  <c r="K78" i="864"/>
  <c r="I78" i="864"/>
  <c r="E78" i="864"/>
  <c r="C78" i="864"/>
  <c r="A78" i="864"/>
  <c r="K77" i="864"/>
  <c r="I77" i="864"/>
  <c r="E77" i="864"/>
  <c r="C77" i="864"/>
  <c r="A77" i="864"/>
  <c r="K76" i="864"/>
  <c r="I76" i="864"/>
  <c r="E76" i="864"/>
  <c r="C76" i="864"/>
  <c r="A76" i="864"/>
  <c r="K75" i="864"/>
  <c r="I75" i="864"/>
  <c r="E75" i="864"/>
  <c r="C75" i="864"/>
  <c r="A75" i="864"/>
  <c r="K74" i="864"/>
  <c r="I74" i="864"/>
  <c r="E74" i="864"/>
  <c r="C74" i="864"/>
  <c r="A74" i="864"/>
  <c r="K73" i="864"/>
  <c r="I73" i="864"/>
  <c r="E73" i="864"/>
  <c r="C73" i="864"/>
  <c r="A73" i="864"/>
  <c r="K72" i="864"/>
  <c r="I72" i="864"/>
  <c r="E72" i="864"/>
  <c r="C72" i="864"/>
  <c r="A72" i="864"/>
  <c r="K71" i="864"/>
  <c r="I71" i="864"/>
  <c r="E71" i="864"/>
  <c r="C71" i="864"/>
  <c r="A71" i="864"/>
  <c r="K70" i="864"/>
  <c r="I70" i="864"/>
  <c r="E70" i="864"/>
  <c r="C70" i="864"/>
  <c r="A70" i="864"/>
  <c r="K69" i="864"/>
  <c r="I69" i="864"/>
  <c r="E69" i="864"/>
  <c r="C69" i="864"/>
  <c r="A69" i="864"/>
  <c r="K68" i="864"/>
  <c r="I68" i="864"/>
  <c r="E68" i="864"/>
  <c r="C68" i="864"/>
  <c r="A68" i="864"/>
  <c r="AE65" i="864"/>
  <c r="AC65" i="864"/>
  <c r="AA65" i="864"/>
  <c r="Y65" i="864"/>
  <c r="V65" i="864"/>
  <c r="U65" i="864"/>
  <c r="T65" i="864"/>
  <c r="S65" i="864"/>
  <c r="Q65" i="864"/>
  <c r="P65" i="864"/>
  <c r="O65" i="864"/>
  <c r="N65" i="864"/>
  <c r="K65" i="864"/>
  <c r="I65" i="864"/>
  <c r="G65" i="864"/>
  <c r="E65" i="864"/>
  <c r="C65" i="864"/>
  <c r="A65" i="864"/>
  <c r="AE64" i="864"/>
  <c r="AC64" i="864"/>
  <c r="AA64" i="864"/>
  <c r="Y64" i="864"/>
  <c r="V64" i="864"/>
  <c r="U64" i="864"/>
  <c r="T64" i="864"/>
  <c r="S64" i="864"/>
  <c r="Q64" i="864"/>
  <c r="P64" i="864"/>
  <c r="O64" i="864"/>
  <c r="N64" i="864"/>
  <c r="K64" i="864"/>
  <c r="I64" i="864"/>
  <c r="G64" i="864"/>
  <c r="E64" i="864"/>
  <c r="C64" i="864"/>
  <c r="A64" i="864"/>
  <c r="AE63" i="864"/>
  <c r="AC63" i="864"/>
  <c r="AA63" i="864"/>
  <c r="Y63" i="864"/>
  <c r="V63" i="864"/>
  <c r="U63" i="864"/>
  <c r="T63" i="864"/>
  <c r="S63" i="864"/>
  <c r="Q63" i="864"/>
  <c r="P63" i="864"/>
  <c r="O63" i="864"/>
  <c r="N63" i="864"/>
  <c r="K63" i="864"/>
  <c r="I63" i="864"/>
  <c r="G63" i="864"/>
  <c r="E63" i="864"/>
  <c r="C63" i="864"/>
  <c r="A63" i="864"/>
  <c r="AE62" i="864"/>
  <c r="AC62" i="864"/>
  <c r="AA62" i="864"/>
  <c r="Y62" i="864"/>
  <c r="V62" i="864"/>
  <c r="U62" i="864"/>
  <c r="T62" i="864"/>
  <c r="S62" i="864"/>
  <c r="Q62" i="864"/>
  <c r="P62" i="864"/>
  <c r="O62" i="864"/>
  <c r="N62" i="864"/>
  <c r="K62" i="864"/>
  <c r="I62" i="864"/>
  <c r="G62" i="864"/>
  <c r="E62" i="864"/>
  <c r="C62" i="864"/>
  <c r="A62" i="864"/>
  <c r="AE61" i="864"/>
  <c r="AC61" i="864"/>
  <c r="AA61" i="864"/>
  <c r="Y61" i="864"/>
  <c r="V61" i="864"/>
  <c r="U61" i="864"/>
  <c r="T61" i="864"/>
  <c r="S61" i="864"/>
  <c r="Q61" i="864"/>
  <c r="P61" i="864"/>
  <c r="O61" i="864"/>
  <c r="N61" i="864"/>
  <c r="K61" i="864"/>
  <c r="I61" i="864"/>
  <c r="G61" i="864"/>
  <c r="E61" i="864"/>
  <c r="C61" i="864"/>
  <c r="A61" i="864"/>
  <c r="AE60" i="864"/>
  <c r="AC60" i="864"/>
  <c r="AA60" i="864"/>
  <c r="Y60" i="864"/>
  <c r="V60" i="864"/>
  <c r="U60" i="864"/>
  <c r="T60" i="864"/>
  <c r="S60" i="864"/>
  <c r="Q60" i="864"/>
  <c r="P60" i="864"/>
  <c r="O60" i="864"/>
  <c r="N60" i="864"/>
  <c r="K60" i="864"/>
  <c r="I60" i="864"/>
  <c r="G60" i="864"/>
  <c r="E60" i="864"/>
  <c r="C60" i="864"/>
  <c r="A60" i="864"/>
  <c r="AE59" i="864"/>
  <c r="AC59" i="864"/>
  <c r="AA59" i="864"/>
  <c r="Y59" i="864"/>
  <c r="V59" i="864"/>
  <c r="U59" i="864"/>
  <c r="T59" i="864"/>
  <c r="S59" i="864"/>
  <c r="Q59" i="864"/>
  <c r="P59" i="864"/>
  <c r="O59" i="864"/>
  <c r="N59" i="864"/>
  <c r="K59" i="864"/>
  <c r="I59" i="864"/>
  <c r="G59" i="864"/>
  <c r="E59" i="864"/>
  <c r="C59" i="864"/>
  <c r="A59" i="864"/>
  <c r="AE58" i="864"/>
  <c r="AC58" i="864"/>
  <c r="AA58" i="864"/>
  <c r="Y58" i="864"/>
  <c r="V58" i="864"/>
  <c r="U58" i="864"/>
  <c r="T58" i="864"/>
  <c r="S58" i="864"/>
  <c r="Q58" i="864"/>
  <c r="P58" i="864"/>
  <c r="O58" i="864"/>
  <c r="N58" i="864"/>
  <c r="K58" i="864"/>
  <c r="I58" i="864"/>
  <c r="G58" i="864"/>
  <c r="E58" i="864"/>
  <c r="C58" i="864"/>
  <c r="A58" i="864"/>
  <c r="AE57" i="864"/>
  <c r="AC57" i="864"/>
  <c r="AA57" i="864"/>
  <c r="Y57" i="864"/>
  <c r="V57" i="864"/>
  <c r="U57" i="864"/>
  <c r="T57" i="864"/>
  <c r="S57" i="864"/>
  <c r="Q57" i="864"/>
  <c r="P57" i="864"/>
  <c r="O57" i="864"/>
  <c r="N57" i="864"/>
  <c r="K57" i="864"/>
  <c r="I57" i="864"/>
  <c r="G57" i="864"/>
  <c r="E57" i="864"/>
  <c r="C57" i="864"/>
  <c r="A57" i="864"/>
  <c r="AE56" i="864"/>
  <c r="AC56" i="864"/>
  <c r="AA56" i="864"/>
  <c r="Y56" i="864"/>
  <c r="V56" i="864"/>
  <c r="U56" i="864"/>
  <c r="T56" i="864"/>
  <c r="S56" i="864"/>
  <c r="Q56" i="864"/>
  <c r="P56" i="864"/>
  <c r="O56" i="864"/>
  <c r="N56" i="864"/>
  <c r="K56" i="864"/>
  <c r="I56" i="864"/>
  <c r="G56" i="864"/>
  <c r="E56" i="864"/>
  <c r="C56" i="864"/>
  <c r="A56" i="864"/>
  <c r="AE55" i="864"/>
  <c r="AC55" i="864"/>
  <c r="AA55" i="864"/>
  <c r="Y55" i="864"/>
  <c r="V55" i="864"/>
  <c r="U55" i="864"/>
  <c r="T55" i="864"/>
  <c r="S55" i="864"/>
  <c r="Q55" i="864"/>
  <c r="P55" i="864"/>
  <c r="O55" i="864"/>
  <c r="N55" i="864"/>
  <c r="K55" i="864"/>
  <c r="I55" i="864"/>
  <c r="G55" i="864"/>
  <c r="E55" i="864"/>
  <c r="C55" i="864"/>
  <c r="A55" i="864"/>
  <c r="AE54" i="864"/>
  <c r="AC54" i="864"/>
  <c r="AA54" i="864"/>
  <c r="Y54" i="864"/>
  <c r="V54" i="864"/>
  <c r="U54" i="864"/>
  <c r="T54" i="864"/>
  <c r="S54" i="864"/>
  <c r="Q54" i="864"/>
  <c r="P54" i="864"/>
  <c r="O54" i="864"/>
  <c r="N54" i="864"/>
  <c r="K54" i="864"/>
  <c r="I54" i="864"/>
  <c r="G54" i="864"/>
  <c r="E54" i="864"/>
  <c r="C54" i="864"/>
  <c r="A54" i="864"/>
  <c r="T27" i="864"/>
  <c r="AF23" i="258"/>
  <c r="S27" i="864"/>
  <c r="AE23" i="258"/>
  <c r="A19" i="864"/>
  <c r="T20" i="864"/>
  <c r="Y16" i="864"/>
  <c r="X16" i="864"/>
  <c r="AG23" i="258"/>
  <c r="W16" i="864"/>
  <c r="V16" i="864"/>
  <c r="AA23" i="258"/>
  <c r="U16" i="864"/>
  <c r="S16" i="864"/>
  <c r="S20" i="864"/>
  <c r="X23" i="258"/>
  <c r="R16" i="864"/>
  <c r="Q16" i="864"/>
  <c r="P16" i="864"/>
  <c r="O16" i="864"/>
  <c r="N16" i="864"/>
  <c r="M16" i="864"/>
  <c r="L16" i="864"/>
  <c r="K16" i="864"/>
  <c r="J16" i="864"/>
  <c r="I16" i="864"/>
  <c r="F26" i="864"/>
  <c r="F23" i="257"/>
  <c r="H16" i="864"/>
  <c r="F16" i="864"/>
  <c r="E16" i="864"/>
  <c r="C16" i="864"/>
  <c r="H94" i="863"/>
  <c r="F94" i="863"/>
  <c r="D94" i="863"/>
  <c r="B94" i="863"/>
  <c r="K79" i="863"/>
  <c r="I79" i="863"/>
  <c r="E79" i="863"/>
  <c r="C79" i="863"/>
  <c r="A79" i="863"/>
  <c r="K78" i="863"/>
  <c r="I78" i="863"/>
  <c r="E78" i="863"/>
  <c r="C78" i="863"/>
  <c r="A78" i="863"/>
  <c r="K77" i="863"/>
  <c r="I77" i="863"/>
  <c r="E77" i="863"/>
  <c r="C77" i="863"/>
  <c r="A77" i="863"/>
  <c r="K76" i="863"/>
  <c r="I76" i="863"/>
  <c r="E76" i="863"/>
  <c r="C76" i="863"/>
  <c r="A76" i="863"/>
  <c r="K75" i="863"/>
  <c r="I75" i="863"/>
  <c r="E75" i="863"/>
  <c r="C75" i="863"/>
  <c r="A75" i="863"/>
  <c r="K74" i="863"/>
  <c r="I74" i="863"/>
  <c r="E74" i="863"/>
  <c r="C74" i="863"/>
  <c r="A74" i="863"/>
  <c r="K73" i="863"/>
  <c r="I73" i="863"/>
  <c r="E73" i="863"/>
  <c r="C73" i="863"/>
  <c r="A73" i="863"/>
  <c r="K72" i="863"/>
  <c r="I72" i="863"/>
  <c r="E72" i="863"/>
  <c r="C72" i="863"/>
  <c r="A72" i="863"/>
  <c r="K71" i="863"/>
  <c r="I71" i="863"/>
  <c r="E71" i="863"/>
  <c r="C71" i="863"/>
  <c r="A71" i="863"/>
  <c r="K70" i="863"/>
  <c r="I70" i="863"/>
  <c r="E70" i="863"/>
  <c r="C70" i="863"/>
  <c r="A70" i="863"/>
  <c r="K69" i="863"/>
  <c r="I69" i="863"/>
  <c r="E69" i="863"/>
  <c r="C69" i="863"/>
  <c r="A69" i="863"/>
  <c r="K68" i="863"/>
  <c r="I68" i="863"/>
  <c r="E68" i="863"/>
  <c r="C68" i="863"/>
  <c r="A68" i="863"/>
  <c r="AE65" i="863"/>
  <c r="AC65" i="863"/>
  <c r="AA65" i="863"/>
  <c r="Y65" i="863"/>
  <c r="V65" i="863"/>
  <c r="U65" i="863"/>
  <c r="T65" i="863"/>
  <c r="S65" i="863"/>
  <c r="Q65" i="863"/>
  <c r="P65" i="863"/>
  <c r="O65" i="863"/>
  <c r="N65" i="863"/>
  <c r="K65" i="863"/>
  <c r="I65" i="863"/>
  <c r="G65" i="863"/>
  <c r="K37" i="863"/>
  <c r="E65" i="863"/>
  <c r="C65" i="863"/>
  <c r="A65" i="863"/>
  <c r="AE64" i="863"/>
  <c r="AC64" i="863"/>
  <c r="AA64" i="863"/>
  <c r="Y64" i="863"/>
  <c r="V64" i="863"/>
  <c r="U64" i="863"/>
  <c r="T64" i="863"/>
  <c r="S64" i="863"/>
  <c r="Q64" i="863"/>
  <c r="P64" i="863"/>
  <c r="O64" i="863"/>
  <c r="N64" i="863"/>
  <c r="K64" i="863"/>
  <c r="I64" i="863"/>
  <c r="G64" i="863"/>
  <c r="E64" i="863"/>
  <c r="C64" i="863"/>
  <c r="A64" i="863"/>
  <c r="AE63" i="863"/>
  <c r="AC63" i="863"/>
  <c r="AA63" i="863"/>
  <c r="Y63" i="863"/>
  <c r="V63" i="863"/>
  <c r="U63" i="863"/>
  <c r="T63" i="863"/>
  <c r="S63" i="863"/>
  <c r="Q63" i="863"/>
  <c r="P63" i="863"/>
  <c r="O63" i="863"/>
  <c r="N63" i="863"/>
  <c r="K63" i="863"/>
  <c r="I63" i="863"/>
  <c r="G63" i="863"/>
  <c r="E63" i="863"/>
  <c r="C63" i="863"/>
  <c r="A63" i="863"/>
  <c r="AE62" i="863"/>
  <c r="AC62" i="863"/>
  <c r="AA62" i="863"/>
  <c r="Y62" i="863"/>
  <c r="V62" i="863"/>
  <c r="U62" i="863"/>
  <c r="T62" i="863"/>
  <c r="S62" i="863"/>
  <c r="Q62" i="863"/>
  <c r="P62" i="863"/>
  <c r="O62" i="863"/>
  <c r="N62" i="863"/>
  <c r="K62" i="863"/>
  <c r="I62" i="863"/>
  <c r="G62" i="863"/>
  <c r="E62" i="863"/>
  <c r="C62" i="863"/>
  <c r="A62" i="863"/>
  <c r="AE61" i="863"/>
  <c r="AC61" i="863"/>
  <c r="AA61" i="863"/>
  <c r="Y61" i="863"/>
  <c r="V61" i="863"/>
  <c r="U61" i="863"/>
  <c r="T61" i="863"/>
  <c r="S61" i="863"/>
  <c r="Q61" i="863"/>
  <c r="P61" i="863"/>
  <c r="O61" i="863"/>
  <c r="N61" i="863"/>
  <c r="K61" i="863"/>
  <c r="I61" i="863"/>
  <c r="G61" i="863"/>
  <c r="E61" i="863"/>
  <c r="C61" i="863"/>
  <c r="A61" i="863"/>
  <c r="AE60" i="863"/>
  <c r="AC60" i="863"/>
  <c r="AA60" i="863"/>
  <c r="Y60" i="863"/>
  <c r="V60" i="863"/>
  <c r="U60" i="863"/>
  <c r="T60" i="863"/>
  <c r="S60" i="863"/>
  <c r="Q60" i="863"/>
  <c r="P60" i="863"/>
  <c r="O60" i="863"/>
  <c r="N60" i="863"/>
  <c r="K60" i="863"/>
  <c r="I60" i="863"/>
  <c r="G60" i="863"/>
  <c r="E60" i="863"/>
  <c r="C60" i="863"/>
  <c r="A60" i="863"/>
  <c r="AE59" i="863"/>
  <c r="AC59" i="863"/>
  <c r="AA59" i="863"/>
  <c r="Y59" i="863"/>
  <c r="V59" i="863"/>
  <c r="U59" i="863"/>
  <c r="T59" i="863"/>
  <c r="S59" i="863"/>
  <c r="Q59" i="863"/>
  <c r="P59" i="863"/>
  <c r="O59" i="863"/>
  <c r="N59" i="863"/>
  <c r="K59" i="863"/>
  <c r="I59" i="863"/>
  <c r="G59" i="863"/>
  <c r="E59" i="863"/>
  <c r="C59" i="863"/>
  <c r="A59" i="863"/>
  <c r="AE58" i="863"/>
  <c r="AC58" i="863"/>
  <c r="AA58" i="863"/>
  <c r="Y58" i="863"/>
  <c r="V58" i="863"/>
  <c r="U58" i="863"/>
  <c r="T58" i="863"/>
  <c r="S58" i="863"/>
  <c r="Q58" i="863"/>
  <c r="P58" i="863"/>
  <c r="O58" i="863"/>
  <c r="N58" i="863"/>
  <c r="K58" i="863"/>
  <c r="I58" i="863"/>
  <c r="G58" i="863"/>
  <c r="E58" i="863"/>
  <c r="C58" i="863"/>
  <c r="A58" i="863"/>
  <c r="AE57" i="863"/>
  <c r="AC57" i="863"/>
  <c r="AA57" i="863"/>
  <c r="Y57" i="863"/>
  <c r="V57" i="863"/>
  <c r="U57" i="863"/>
  <c r="T57" i="863"/>
  <c r="S57" i="863"/>
  <c r="Q57" i="863"/>
  <c r="P57" i="863"/>
  <c r="O57" i="863"/>
  <c r="N57" i="863"/>
  <c r="K57" i="863"/>
  <c r="I57" i="863"/>
  <c r="G57" i="863"/>
  <c r="E57" i="863"/>
  <c r="C57" i="863"/>
  <c r="A57" i="863"/>
  <c r="AE56" i="863"/>
  <c r="AC56" i="863"/>
  <c r="AA56" i="863"/>
  <c r="Y56" i="863"/>
  <c r="V56" i="863"/>
  <c r="U56" i="863"/>
  <c r="T56" i="863"/>
  <c r="S56" i="863"/>
  <c r="Q56" i="863"/>
  <c r="P56" i="863"/>
  <c r="O56" i="863"/>
  <c r="N56" i="863"/>
  <c r="K56" i="863"/>
  <c r="I56" i="863"/>
  <c r="G56" i="863"/>
  <c r="E56" i="863"/>
  <c r="C56" i="863"/>
  <c r="A56" i="863"/>
  <c r="AE55" i="863"/>
  <c r="AC55" i="863"/>
  <c r="AA55" i="863"/>
  <c r="Y55" i="863"/>
  <c r="V55" i="863"/>
  <c r="U55" i="863"/>
  <c r="T55" i="863"/>
  <c r="S55" i="863"/>
  <c r="Q55" i="863"/>
  <c r="P55" i="863"/>
  <c r="O55" i="863"/>
  <c r="N55" i="863"/>
  <c r="K55" i="863"/>
  <c r="I55" i="863"/>
  <c r="G55" i="863"/>
  <c r="E55" i="863"/>
  <c r="C55" i="863"/>
  <c r="A55" i="863"/>
  <c r="AE54" i="863"/>
  <c r="AC54" i="863"/>
  <c r="AA54" i="863"/>
  <c r="Y54" i="863"/>
  <c r="V54" i="863"/>
  <c r="U54" i="863"/>
  <c r="T54" i="863"/>
  <c r="S54" i="863"/>
  <c r="Q54" i="863"/>
  <c r="P54" i="863"/>
  <c r="O54" i="863"/>
  <c r="N54" i="863"/>
  <c r="K54" i="863"/>
  <c r="Q25" i="863"/>
  <c r="I54" i="863"/>
  <c r="G54" i="863"/>
  <c r="E54" i="863"/>
  <c r="C54" i="863"/>
  <c r="A54" i="863"/>
  <c r="T27" i="863"/>
  <c r="AF24" i="258"/>
  <c r="S27" i="863"/>
  <c r="AE24" i="258"/>
  <c r="A19" i="863"/>
  <c r="T20" i="863"/>
  <c r="Y16" i="863"/>
  <c r="X16" i="863"/>
  <c r="AG24" i="258"/>
  <c r="W16" i="863"/>
  <c r="V16" i="863"/>
  <c r="AA24" i="258"/>
  <c r="U16" i="863"/>
  <c r="S16" i="863"/>
  <c r="S20" i="863"/>
  <c r="X24" i="258"/>
  <c r="R16" i="863"/>
  <c r="Q16" i="863"/>
  <c r="P16" i="863"/>
  <c r="O16" i="863"/>
  <c r="N16" i="863"/>
  <c r="M16" i="863"/>
  <c r="L16" i="863"/>
  <c r="K16" i="863"/>
  <c r="J16" i="863"/>
  <c r="I16" i="863"/>
  <c r="E24" i="257"/>
  <c r="H16" i="863"/>
  <c r="F16" i="863"/>
  <c r="E16" i="863"/>
  <c r="B24" i="258"/>
  <c r="C16" i="863"/>
  <c r="H94" i="862"/>
  <c r="F94" i="862"/>
  <c r="D94" i="862"/>
  <c r="B94" i="862"/>
  <c r="K79" i="862"/>
  <c r="I79" i="862"/>
  <c r="E79" i="862"/>
  <c r="C79" i="862"/>
  <c r="A79" i="862"/>
  <c r="K78" i="862"/>
  <c r="I78" i="862"/>
  <c r="E78" i="862"/>
  <c r="C78" i="862"/>
  <c r="A78" i="862"/>
  <c r="K77" i="862"/>
  <c r="I77" i="862"/>
  <c r="E77" i="862"/>
  <c r="C77" i="862"/>
  <c r="A77" i="862"/>
  <c r="K76" i="862"/>
  <c r="I76" i="862"/>
  <c r="E76" i="862"/>
  <c r="C76" i="862"/>
  <c r="A76" i="862"/>
  <c r="K75" i="862"/>
  <c r="I75" i="862"/>
  <c r="E75" i="862"/>
  <c r="C75" i="862"/>
  <c r="A75" i="862"/>
  <c r="K74" i="862"/>
  <c r="I74" i="862"/>
  <c r="E74" i="862"/>
  <c r="C74" i="862"/>
  <c r="A74" i="862"/>
  <c r="K73" i="862"/>
  <c r="I73" i="862"/>
  <c r="E73" i="862"/>
  <c r="C73" i="862"/>
  <c r="A73" i="862"/>
  <c r="K72" i="862"/>
  <c r="I72" i="862"/>
  <c r="E72" i="862"/>
  <c r="C72" i="862"/>
  <c r="A72" i="862"/>
  <c r="K71" i="862"/>
  <c r="I71" i="862"/>
  <c r="E71" i="862"/>
  <c r="C71" i="862"/>
  <c r="A71" i="862"/>
  <c r="K70" i="862"/>
  <c r="I70" i="862"/>
  <c r="E70" i="862"/>
  <c r="C70" i="862"/>
  <c r="A70" i="862"/>
  <c r="K69" i="862"/>
  <c r="I69" i="862"/>
  <c r="E69" i="862"/>
  <c r="C69" i="862"/>
  <c r="A69" i="862"/>
  <c r="K68" i="862"/>
  <c r="I68" i="862"/>
  <c r="E68" i="862"/>
  <c r="C68" i="862"/>
  <c r="A68" i="862"/>
  <c r="AE65" i="862"/>
  <c r="AC65" i="862"/>
  <c r="AA65" i="862"/>
  <c r="Y65" i="862"/>
  <c r="V65" i="862"/>
  <c r="U65" i="862"/>
  <c r="T65" i="862"/>
  <c r="S65" i="862"/>
  <c r="Q65" i="862"/>
  <c r="P65" i="862"/>
  <c r="O65" i="862"/>
  <c r="N65" i="862"/>
  <c r="K65" i="862"/>
  <c r="I65" i="862"/>
  <c r="G65" i="862"/>
  <c r="E65" i="862"/>
  <c r="C65" i="862"/>
  <c r="A65" i="862"/>
  <c r="AE64" i="862"/>
  <c r="AC64" i="862"/>
  <c r="AA64" i="862"/>
  <c r="Y64" i="862"/>
  <c r="V64" i="862"/>
  <c r="U64" i="862"/>
  <c r="T64" i="862"/>
  <c r="S64" i="862"/>
  <c r="Q64" i="862"/>
  <c r="P64" i="862"/>
  <c r="O64" i="862"/>
  <c r="N64" i="862"/>
  <c r="K64" i="862"/>
  <c r="I64" i="862"/>
  <c r="G64" i="862"/>
  <c r="E64" i="862"/>
  <c r="C64" i="862"/>
  <c r="A64" i="862"/>
  <c r="AE63" i="862"/>
  <c r="AC63" i="862"/>
  <c r="AA63" i="862"/>
  <c r="Y63" i="862"/>
  <c r="V63" i="862"/>
  <c r="U63" i="862"/>
  <c r="T63" i="862"/>
  <c r="S63" i="862"/>
  <c r="Q63" i="862"/>
  <c r="P63" i="862"/>
  <c r="O63" i="862"/>
  <c r="N63" i="862"/>
  <c r="K63" i="862"/>
  <c r="I63" i="862"/>
  <c r="G63" i="862"/>
  <c r="E63" i="862"/>
  <c r="C63" i="862"/>
  <c r="A63" i="862"/>
  <c r="AE62" i="862"/>
  <c r="AC62" i="862"/>
  <c r="AA62" i="862"/>
  <c r="Y62" i="862"/>
  <c r="V62" i="862"/>
  <c r="U62" i="862"/>
  <c r="T62" i="862"/>
  <c r="S62" i="862"/>
  <c r="Q62" i="862"/>
  <c r="P62" i="862"/>
  <c r="O62" i="862"/>
  <c r="N62" i="862"/>
  <c r="K62" i="862"/>
  <c r="I62" i="862"/>
  <c r="G62" i="862"/>
  <c r="E62" i="862"/>
  <c r="C62" i="862"/>
  <c r="A62" i="862"/>
  <c r="AE61" i="862"/>
  <c r="AC61" i="862"/>
  <c r="AA61" i="862"/>
  <c r="Y61" i="862"/>
  <c r="V61" i="862"/>
  <c r="U61" i="862"/>
  <c r="T61" i="862"/>
  <c r="S61" i="862"/>
  <c r="Q61" i="862"/>
  <c r="P61" i="862"/>
  <c r="O61" i="862"/>
  <c r="N61" i="862"/>
  <c r="K61" i="862"/>
  <c r="I61" i="862"/>
  <c r="G61" i="862"/>
  <c r="E61" i="862"/>
  <c r="C61" i="862"/>
  <c r="A61" i="862"/>
  <c r="AE60" i="862"/>
  <c r="AC60" i="862"/>
  <c r="AA60" i="862"/>
  <c r="Y60" i="862"/>
  <c r="V60" i="862"/>
  <c r="U60" i="862"/>
  <c r="T60" i="862"/>
  <c r="S60" i="862"/>
  <c r="Q60" i="862"/>
  <c r="P60" i="862"/>
  <c r="O60" i="862"/>
  <c r="N60" i="862"/>
  <c r="K60" i="862"/>
  <c r="I60" i="862"/>
  <c r="G60" i="862"/>
  <c r="E60" i="862"/>
  <c r="C60" i="862"/>
  <c r="A60" i="862"/>
  <c r="AE59" i="862"/>
  <c r="AC59" i="862"/>
  <c r="AA59" i="862"/>
  <c r="Y59" i="862"/>
  <c r="V59" i="862"/>
  <c r="U59" i="862"/>
  <c r="T59" i="862"/>
  <c r="S59" i="862"/>
  <c r="Q59" i="862"/>
  <c r="P59" i="862"/>
  <c r="O59" i="862"/>
  <c r="N59" i="862"/>
  <c r="K59" i="862"/>
  <c r="I59" i="862"/>
  <c r="G59" i="862"/>
  <c r="E59" i="862"/>
  <c r="C59" i="862"/>
  <c r="A59" i="862"/>
  <c r="AE58" i="862"/>
  <c r="AC58" i="862"/>
  <c r="AA58" i="862"/>
  <c r="Y58" i="862"/>
  <c r="V58" i="862"/>
  <c r="U58" i="862"/>
  <c r="T58" i="862"/>
  <c r="S58" i="862"/>
  <c r="Q58" i="862"/>
  <c r="P58" i="862"/>
  <c r="O58" i="862"/>
  <c r="N58" i="862"/>
  <c r="K58" i="862"/>
  <c r="I58" i="862"/>
  <c r="G58" i="862"/>
  <c r="E58" i="862"/>
  <c r="C58" i="862"/>
  <c r="A58" i="862"/>
  <c r="AE57" i="862"/>
  <c r="AC57" i="862"/>
  <c r="AA57" i="862"/>
  <c r="Y57" i="862"/>
  <c r="V57" i="862"/>
  <c r="U57" i="862"/>
  <c r="T57" i="862"/>
  <c r="S57" i="862"/>
  <c r="Q57" i="862"/>
  <c r="P57" i="862"/>
  <c r="O57" i="862"/>
  <c r="N57" i="862"/>
  <c r="K57" i="862"/>
  <c r="I57" i="862"/>
  <c r="G57" i="862"/>
  <c r="E57" i="862"/>
  <c r="C57" i="862"/>
  <c r="A57" i="862"/>
  <c r="AE56" i="862"/>
  <c r="AC56" i="862"/>
  <c r="AA56" i="862"/>
  <c r="Y56" i="862"/>
  <c r="V56" i="862"/>
  <c r="U56" i="862"/>
  <c r="T56" i="862"/>
  <c r="S56" i="862"/>
  <c r="Q56" i="862"/>
  <c r="P56" i="862"/>
  <c r="O56" i="862"/>
  <c r="N56" i="862"/>
  <c r="K56" i="862"/>
  <c r="I56" i="862"/>
  <c r="G56" i="862"/>
  <c r="E56" i="862"/>
  <c r="C56" i="862"/>
  <c r="A56" i="862"/>
  <c r="AE55" i="862"/>
  <c r="AC55" i="862"/>
  <c r="AA55" i="862"/>
  <c r="Y55" i="862"/>
  <c r="V55" i="862"/>
  <c r="U55" i="862"/>
  <c r="T55" i="862"/>
  <c r="S55" i="862"/>
  <c r="Q55" i="862"/>
  <c r="P55" i="862"/>
  <c r="O55" i="862"/>
  <c r="N55" i="862"/>
  <c r="K55" i="862"/>
  <c r="I55" i="862"/>
  <c r="G55" i="862"/>
  <c r="E55" i="862"/>
  <c r="C55" i="862"/>
  <c r="A55" i="862"/>
  <c r="AE54" i="862"/>
  <c r="AC54" i="862"/>
  <c r="AA54" i="862"/>
  <c r="Y54" i="862"/>
  <c r="V54" i="862"/>
  <c r="U54" i="862"/>
  <c r="T54" i="862"/>
  <c r="S54" i="862"/>
  <c r="Q54" i="862"/>
  <c r="P54" i="862"/>
  <c r="O54" i="862"/>
  <c r="N54" i="862"/>
  <c r="K54" i="862"/>
  <c r="I54" i="862"/>
  <c r="G54" i="862"/>
  <c r="E54" i="862"/>
  <c r="C54" i="862"/>
  <c r="A54" i="862"/>
  <c r="T27" i="862"/>
  <c r="AF25" i="258"/>
  <c r="S27" i="862"/>
  <c r="AE25" i="258"/>
  <c r="A19" i="862"/>
  <c r="T20" i="862"/>
  <c r="Y16" i="862"/>
  <c r="X16" i="862"/>
  <c r="AG25" i="258"/>
  <c r="W16" i="862"/>
  <c r="V16" i="862"/>
  <c r="AA25" i="258"/>
  <c r="U16" i="862"/>
  <c r="S16" i="862"/>
  <c r="S20" i="862"/>
  <c r="X25" i="258"/>
  <c r="R16" i="862"/>
  <c r="Q16" i="862"/>
  <c r="P16" i="862"/>
  <c r="O16" i="862"/>
  <c r="N16" i="862"/>
  <c r="M16" i="862"/>
  <c r="L16" i="862"/>
  <c r="K16" i="862"/>
  <c r="J16" i="862"/>
  <c r="I16" i="862"/>
  <c r="H16" i="862"/>
  <c r="F16" i="862"/>
  <c r="E16" i="862"/>
  <c r="B25" i="258"/>
  <c r="C16" i="862"/>
  <c r="H94" i="861"/>
  <c r="F94" i="861"/>
  <c r="D94" i="861"/>
  <c r="B94" i="861"/>
  <c r="K79" i="861"/>
  <c r="I79" i="861"/>
  <c r="E79" i="861"/>
  <c r="C79" i="861"/>
  <c r="A79" i="861"/>
  <c r="K78" i="861"/>
  <c r="I78" i="861"/>
  <c r="E78" i="861"/>
  <c r="C78" i="861"/>
  <c r="A78" i="861"/>
  <c r="K77" i="861"/>
  <c r="I77" i="861"/>
  <c r="E77" i="861"/>
  <c r="C77" i="861"/>
  <c r="A77" i="861"/>
  <c r="K76" i="861"/>
  <c r="I76" i="861"/>
  <c r="E76" i="861"/>
  <c r="C76" i="861"/>
  <c r="A76" i="861"/>
  <c r="K75" i="861"/>
  <c r="I75" i="861"/>
  <c r="E75" i="861"/>
  <c r="C75" i="861"/>
  <c r="A75" i="861"/>
  <c r="K74" i="861"/>
  <c r="I74" i="861"/>
  <c r="E74" i="861"/>
  <c r="C74" i="861"/>
  <c r="A74" i="861"/>
  <c r="K73" i="861"/>
  <c r="I73" i="861"/>
  <c r="E73" i="861"/>
  <c r="C73" i="861"/>
  <c r="A73" i="861"/>
  <c r="K72" i="861"/>
  <c r="I72" i="861"/>
  <c r="E72" i="861"/>
  <c r="C72" i="861"/>
  <c r="A72" i="861"/>
  <c r="K71" i="861"/>
  <c r="I71" i="861"/>
  <c r="E71" i="861"/>
  <c r="C71" i="861"/>
  <c r="A71" i="861"/>
  <c r="K70" i="861"/>
  <c r="I70" i="861"/>
  <c r="E70" i="861"/>
  <c r="C70" i="861"/>
  <c r="A70" i="861"/>
  <c r="K69" i="861"/>
  <c r="I69" i="861"/>
  <c r="E69" i="861"/>
  <c r="C69" i="861"/>
  <c r="A69" i="861"/>
  <c r="K68" i="861"/>
  <c r="I68" i="861"/>
  <c r="E68" i="861"/>
  <c r="C68" i="861"/>
  <c r="A68" i="861"/>
  <c r="AE65" i="861"/>
  <c r="AC65" i="861"/>
  <c r="AA65" i="861"/>
  <c r="Y65" i="861"/>
  <c r="V65" i="861"/>
  <c r="U65" i="861"/>
  <c r="T65" i="861"/>
  <c r="S65" i="861"/>
  <c r="Q65" i="861"/>
  <c r="P65" i="861"/>
  <c r="O65" i="861"/>
  <c r="N65" i="861"/>
  <c r="K65" i="861"/>
  <c r="I65" i="861"/>
  <c r="G65" i="861"/>
  <c r="E65" i="861"/>
  <c r="C65" i="861"/>
  <c r="A65" i="861"/>
  <c r="AE64" i="861"/>
  <c r="AC64" i="861"/>
  <c r="AA64" i="861"/>
  <c r="Y64" i="861"/>
  <c r="V64" i="861"/>
  <c r="U64" i="861"/>
  <c r="T64" i="861"/>
  <c r="S64" i="861"/>
  <c r="Q64" i="861"/>
  <c r="P64" i="861"/>
  <c r="O64" i="861"/>
  <c r="N64" i="861"/>
  <c r="K64" i="861"/>
  <c r="I64" i="861"/>
  <c r="G64" i="861"/>
  <c r="E64" i="861"/>
  <c r="C64" i="861"/>
  <c r="A64" i="861"/>
  <c r="AE63" i="861"/>
  <c r="AC63" i="861"/>
  <c r="AA63" i="861"/>
  <c r="Y63" i="861"/>
  <c r="V63" i="861"/>
  <c r="U63" i="861"/>
  <c r="T63" i="861"/>
  <c r="S63" i="861"/>
  <c r="Q63" i="861"/>
  <c r="P63" i="861"/>
  <c r="O63" i="861"/>
  <c r="N63" i="861"/>
  <c r="K63" i="861"/>
  <c r="I63" i="861"/>
  <c r="G63" i="861"/>
  <c r="E63" i="861"/>
  <c r="C63" i="861"/>
  <c r="A63" i="861"/>
  <c r="AE62" i="861"/>
  <c r="AC62" i="861"/>
  <c r="AA62" i="861"/>
  <c r="Y62" i="861"/>
  <c r="V62" i="861"/>
  <c r="U62" i="861"/>
  <c r="T62" i="861"/>
  <c r="S62" i="861"/>
  <c r="Q62" i="861"/>
  <c r="P62" i="861"/>
  <c r="O62" i="861"/>
  <c r="N62" i="861"/>
  <c r="K62" i="861"/>
  <c r="I62" i="861"/>
  <c r="G62" i="861"/>
  <c r="E62" i="861"/>
  <c r="C62" i="861"/>
  <c r="A62" i="861"/>
  <c r="AE61" i="861"/>
  <c r="AC61" i="861"/>
  <c r="AA61" i="861"/>
  <c r="Y61" i="861"/>
  <c r="V61" i="861"/>
  <c r="U61" i="861"/>
  <c r="T61" i="861"/>
  <c r="S61" i="861"/>
  <c r="Q61" i="861"/>
  <c r="P61" i="861"/>
  <c r="O61" i="861"/>
  <c r="N61" i="861"/>
  <c r="K61" i="861"/>
  <c r="I61" i="861"/>
  <c r="G61" i="861"/>
  <c r="E61" i="861"/>
  <c r="C61" i="861"/>
  <c r="A61" i="861"/>
  <c r="AE60" i="861"/>
  <c r="AC60" i="861"/>
  <c r="AA60" i="861"/>
  <c r="Y60" i="861"/>
  <c r="V60" i="861"/>
  <c r="U60" i="861"/>
  <c r="T60" i="861"/>
  <c r="S60" i="861"/>
  <c r="Q60" i="861"/>
  <c r="P60" i="861"/>
  <c r="O60" i="861"/>
  <c r="N60" i="861"/>
  <c r="K60" i="861"/>
  <c r="I60" i="861"/>
  <c r="G60" i="861"/>
  <c r="E60" i="861"/>
  <c r="C60" i="861"/>
  <c r="A60" i="861"/>
  <c r="AE59" i="861"/>
  <c r="AC59" i="861"/>
  <c r="AA59" i="861"/>
  <c r="Y59" i="861"/>
  <c r="V59" i="861"/>
  <c r="U59" i="861"/>
  <c r="T59" i="861"/>
  <c r="S59" i="861"/>
  <c r="Q59" i="861"/>
  <c r="P59" i="861"/>
  <c r="O59" i="861"/>
  <c r="N59" i="861"/>
  <c r="K59" i="861"/>
  <c r="I59" i="861"/>
  <c r="G59" i="861"/>
  <c r="E59" i="861"/>
  <c r="C59" i="861"/>
  <c r="A59" i="861"/>
  <c r="AE58" i="861"/>
  <c r="AC58" i="861"/>
  <c r="AA58" i="861"/>
  <c r="Y58" i="861"/>
  <c r="V58" i="861"/>
  <c r="U58" i="861"/>
  <c r="T58" i="861"/>
  <c r="S58" i="861"/>
  <c r="Q58" i="861"/>
  <c r="P58" i="861"/>
  <c r="O58" i="861"/>
  <c r="N58" i="861"/>
  <c r="K58" i="861"/>
  <c r="I58" i="861"/>
  <c r="G58" i="861"/>
  <c r="E58" i="861"/>
  <c r="C58" i="861"/>
  <c r="A58" i="861"/>
  <c r="AE57" i="861"/>
  <c r="AC57" i="861"/>
  <c r="AA57" i="861"/>
  <c r="Y57" i="861"/>
  <c r="V57" i="861"/>
  <c r="U57" i="861"/>
  <c r="T57" i="861"/>
  <c r="S57" i="861"/>
  <c r="Q57" i="861"/>
  <c r="P57" i="861"/>
  <c r="O57" i="861"/>
  <c r="N57" i="861"/>
  <c r="K57" i="861"/>
  <c r="I57" i="861"/>
  <c r="G57" i="861"/>
  <c r="E57" i="861"/>
  <c r="C57" i="861"/>
  <c r="A57" i="861"/>
  <c r="AE56" i="861"/>
  <c r="AC56" i="861"/>
  <c r="AA56" i="861"/>
  <c r="Y56" i="861"/>
  <c r="V56" i="861"/>
  <c r="U56" i="861"/>
  <c r="T56" i="861"/>
  <c r="S56" i="861"/>
  <c r="Q56" i="861"/>
  <c r="P56" i="861"/>
  <c r="O56" i="861"/>
  <c r="N56" i="861"/>
  <c r="K56" i="861"/>
  <c r="I56" i="861"/>
  <c r="G56" i="861"/>
  <c r="E56" i="861"/>
  <c r="C56" i="861"/>
  <c r="A56" i="861"/>
  <c r="AE55" i="861"/>
  <c r="AC55" i="861"/>
  <c r="AA55" i="861"/>
  <c r="Y55" i="861"/>
  <c r="V55" i="861"/>
  <c r="U55" i="861"/>
  <c r="T55" i="861"/>
  <c r="S55" i="861"/>
  <c r="Q55" i="861"/>
  <c r="P55" i="861"/>
  <c r="O55" i="861"/>
  <c r="N55" i="861"/>
  <c r="K55" i="861"/>
  <c r="I55" i="861"/>
  <c r="G55" i="861"/>
  <c r="E55" i="861"/>
  <c r="C55" i="861"/>
  <c r="A55" i="861"/>
  <c r="AE54" i="861"/>
  <c r="AC54" i="861"/>
  <c r="AC66" i="861"/>
  <c r="AA54" i="861"/>
  <c r="AA66" i="861"/>
  <c r="Y54" i="861"/>
  <c r="Y66" i="861"/>
  <c r="V54" i="861"/>
  <c r="U54" i="861"/>
  <c r="T54" i="861"/>
  <c r="S54" i="861"/>
  <c r="S66" i="861"/>
  <c r="Q54" i="861"/>
  <c r="P54" i="861"/>
  <c r="O54" i="861"/>
  <c r="N54" i="861"/>
  <c r="K54" i="861"/>
  <c r="I54" i="861"/>
  <c r="G54" i="861"/>
  <c r="E54" i="861"/>
  <c r="C54" i="861"/>
  <c r="A54" i="861"/>
  <c r="T27" i="861"/>
  <c r="AF26" i="258"/>
  <c r="S27" i="861"/>
  <c r="AE26" i="258"/>
  <c r="A19" i="861"/>
  <c r="T20" i="861"/>
  <c r="Y16" i="861"/>
  <c r="X16" i="861"/>
  <c r="AG26" i="258"/>
  <c r="W16" i="861"/>
  <c r="V16" i="861"/>
  <c r="U16" i="861"/>
  <c r="S16" i="861"/>
  <c r="S20" i="861"/>
  <c r="X26" i="258"/>
  <c r="R16" i="861"/>
  <c r="Q16" i="861"/>
  <c r="P16" i="861"/>
  <c r="O16" i="861"/>
  <c r="N16" i="861"/>
  <c r="M16" i="861"/>
  <c r="L16" i="861"/>
  <c r="K16" i="861"/>
  <c r="J16" i="861"/>
  <c r="I16" i="861"/>
  <c r="H16" i="861"/>
  <c r="F16" i="861"/>
  <c r="E16" i="861"/>
  <c r="C16" i="861"/>
  <c r="H94" i="860"/>
  <c r="F94" i="860"/>
  <c r="D94" i="860"/>
  <c r="B94" i="860"/>
  <c r="K79" i="860"/>
  <c r="I79" i="860"/>
  <c r="E79" i="860"/>
  <c r="C79" i="860"/>
  <c r="A79" i="860"/>
  <c r="K78" i="860"/>
  <c r="I78" i="860"/>
  <c r="E78" i="860"/>
  <c r="C78" i="860"/>
  <c r="A78" i="860"/>
  <c r="K77" i="860"/>
  <c r="I77" i="860"/>
  <c r="E77" i="860"/>
  <c r="C77" i="860"/>
  <c r="A77" i="860"/>
  <c r="K76" i="860"/>
  <c r="I76" i="860"/>
  <c r="E76" i="860"/>
  <c r="C76" i="860"/>
  <c r="A76" i="860"/>
  <c r="K75" i="860"/>
  <c r="I75" i="860"/>
  <c r="E75" i="860"/>
  <c r="C75" i="860"/>
  <c r="A75" i="860"/>
  <c r="K74" i="860"/>
  <c r="I74" i="860"/>
  <c r="E74" i="860"/>
  <c r="C74" i="860"/>
  <c r="A74" i="860"/>
  <c r="K73" i="860"/>
  <c r="I73" i="860"/>
  <c r="E73" i="860"/>
  <c r="C73" i="860"/>
  <c r="A73" i="860"/>
  <c r="K72" i="860"/>
  <c r="I72" i="860"/>
  <c r="E72" i="860"/>
  <c r="C72" i="860"/>
  <c r="A72" i="860"/>
  <c r="K71" i="860"/>
  <c r="I71" i="860"/>
  <c r="E71" i="860"/>
  <c r="C71" i="860"/>
  <c r="A71" i="860"/>
  <c r="K70" i="860"/>
  <c r="I70" i="860"/>
  <c r="E70" i="860"/>
  <c r="C70" i="860"/>
  <c r="A70" i="860"/>
  <c r="K69" i="860"/>
  <c r="I69" i="860"/>
  <c r="E69" i="860"/>
  <c r="C69" i="860"/>
  <c r="A69" i="860"/>
  <c r="K68" i="860"/>
  <c r="I68" i="860"/>
  <c r="E68" i="860"/>
  <c r="C68" i="860"/>
  <c r="A68" i="860"/>
  <c r="AE65" i="860"/>
  <c r="AC65" i="860"/>
  <c r="AA65" i="860"/>
  <c r="Y65" i="860"/>
  <c r="V65" i="860"/>
  <c r="U65" i="860"/>
  <c r="T65" i="860"/>
  <c r="S65" i="860"/>
  <c r="Q65" i="860"/>
  <c r="P65" i="860"/>
  <c r="O65" i="860"/>
  <c r="N65" i="860"/>
  <c r="K65" i="860"/>
  <c r="I65" i="860"/>
  <c r="G65" i="860"/>
  <c r="E65" i="860"/>
  <c r="C65" i="860"/>
  <c r="A65" i="860"/>
  <c r="AE64" i="860"/>
  <c r="AC64" i="860"/>
  <c r="AA64" i="860"/>
  <c r="Y64" i="860"/>
  <c r="V64" i="860"/>
  <c r="U64" i="860"/>
  <c r="T64" i="860"/>
  <c r="S64" i="860"/>
  <c r="Q64" i="860"/>
  <c r="P64" i="860"/>
  <c r="O64" i="860"/>
  <c r="N64" i="860"/>
  <c r="K64" i="860"/>
  <c r="I64" i="860"/>
  <c r="G64" i="860"/>
  <c r="E64" i="860"/>
  <c r="C64" i="860"/>
  <c r="A64" i="860"/>
  <c r="AE63" i="860"/>
  <c r="AC63" i="860"/>
  <c r="AA63" i="860"/>
  <c r="Y63" i="860"/>
  <c r="V63" i="860"/>
  <c r="U63" i="860"/>
  <c r="T63" i="860"/>
  <c r="S63" i="860"/>
  <c r="Q63" i="860"/>
  <c r="P63" i="860"/>
  <c r="O63" i="860"/>
  <c r="N63" i="860"/>
  <c r="K63" i="860"/>
  <c r="I63" i="860"/>
  <c r="G63" i="860"/>
  <c r="E63" i="860"/>
  <c r="C63" i="860"/>
  <c r="A63" i="860"/>
  <c r="AE62" i="860"/>
  <c r="AC62" i="860"/>
  <c r="AA62" i="860"/>
  <c r="Y62" i="860"/>
  <c r="V62" i="860"/>
  <c r="U62" i="860"/>
  <c r="T62" i="860"/>
  <c r="S62" i="860"/>
  <c r="Q62" i="860"/>
  <c r="P62" i="860"/>
  <c r="O62" i="860"/>
  <c r="N62" i="860"/>
  <c r="K62" i="860"/>
  <c r="I62" i="860"/>
  <c r="G62" i="860"/>
  <c r="E62" i="860"/>
  <c r="C62" i="860"/>
  <c r="A62" i="860"/>
  <c r="AE61" i="860"/>
  <c r="AC61" i="860"/>
  <c r="AA61" i="860"/>
  <c r="Y61" i="860"/>
  <c r="V61" i="860"/>
  <c r="U61" i="860"/>
  <c r="T61" i="860"/>
  <c r="S61" i="860"/>
  <c r="Q61" i="860"/>
  <c r="P61" i="860"/>
  <c r="O61" i="860"/>
  <c r="N61" i="860"/>
  <c r="K61" i="860"/>
  <c r="I61" i="860"/>
  <c r="G61" i="860"/>
  <c r="E61" i="860"/>
  <c r="C61" i="860"/>
  <c r="A61" i="860"/>
  <c r="AE60" i="860"/>
  <c r="AC60" i="860"/>
  <c r="AA60" i="860"/>
  <c r="Y60" i="860"/>
  <c r="V60" i="860"/>
  <c r="U60" i="860"/>
  <c r="T60" i="860"/>
  <c r="S60" i="860"/>
  <c r="Q60" i="860"/>
  <c r="P60" i="860"/>
  <c r="O60" i="860"/>
  <c r="N60" i="860"/>
  <c r="K60" i="860"/>
  <c r="I60" i="860"/>
  <c r="G60" i="860"/>
  <c r="E60" i="860"/>
  <c r="C60" i="860"/>
  <c r="A60" i="860"/>
  <c r="AE59" i="860"/>
  <c r="AC59" i="860"/>
  <c r="AA59" i="860"/>
  <c r="Y59" i="860"/>
  <c r="V59" i="860"/>
  <c r="U59" i="860"/>
  <c r="T59" i="860"/>
  <c r="S59" i="860"/>
  <c r="Q59" i="860"/>
  <c r="P59" i="860"/>
  <c r="O59" i="860"/>
  <c r="N59" i="860"/>
  <c r="K59" i="860"/>
  <c r="I59" i="860"/>
  <c r="G59" i="860"/>
  <c r="E59" i="860"/>
  <c r="C59" i="860"/>
  <c r="A59" i="860"/>
  <c r="AE58" i="860"/>
  <c r="AC58" i="860"/>
  <c r="AA58" i="860"/>
  <c r="Y58" i="860"/>
  <c r="V58" i="860"/>
  <c r="U58" i="860"/>
  <c r="T58" i="860"/>
  <c r="S58" i="860"/>
  <c r="Q58" i="860"/>
  <c r="P58" i="860"/>
  <c r="O58" i="860"/>
  <c r="N58" i="860"/>
  <c r="K58" i="860"/>
  <c r="I58" i="860"/>
  <c r="G58" i="860"/>
  <c r="E58" i="860"/>
  <c r="C58" i="860"/>
  <c r="A58" i="860"/>
  <c r="AE57" i="860"/>
  <c r="AC57" i="860"/>
  <c r="AA57" i="860"/>
  <c r="Y57" i="860"/>
  <c r="V57" i="860"/>
  <c r="U57" i="860"/>
  <c r="T57" i="860"/>
  <c r="S57" i="860"/>
  <c r="Q57" i="860"/>
  <c r="P57" i="860"/>
  <c r="O57" i="860"/>
  <c r="N57" i="860"/>
  <c r="K57" i="860"/>
  <c r="I57" i="860"/>
  <c r="G57" i="860"/>
  <c r="E57" i="860"/>
  <c r="C57" i="860"/>
  <c r="A57" i="860"/>
  <c r="AE56" i="860"/>
  <c r="AC56" i="860"/>
  <c r="AA56" i="860"/>
  <c r="Y56" i="860"/>
  <c r="V56" i="860"/>
  <c r="U56" i="860"/>
  <c r="T56" i="860"/>
  <c r="S56" i="860"/>
  <c r="Q56" i="860"/>
  <c r="P56" i="860"/>
  <c r="O56" i="860"/>
  <c r="N56" i="860"/>
  <c r="K56" i="860"/>
  <c r="I56" i="860"/>
  <c r="G56" i="860"/>
  <c r="E56" i="860"/>
  <c r="C56" i="860"/>
  <c r="A56" i="860"/>
  <c r="J24" i="860"/>
  <c r="H27" i="258"/>
  <c r="AE55" i="860"/>
  <c r="AC55" i="860"/>
  <c r="AA55" i="860"/>
  <c r="Y55" i="860"/>
  <c r="V55" i="860"/>
  <c r="U55" i="860"/>
  <c r="T55" i="860"/>
  <c r="S55" i="860"/>
  <c r="Q55" i="860"/>
  <c r="P55" i="860"/>
  <c r="O55" i="860"/>
  <c r="N55" i="860"/>
  <c r="K55" i="860"/>
  <c r="I55" i="860"/>
  <c r="G55" i="860"/>
  <c r="E55" i="860"/>
  <c r="C55" i="860"/>
  <c r="A55" i="860"/>
  <c r="AE54" i="860"/>
  <c r="AC54" i="860"/>
  <c r="AA54" i="860"/>
  <c r="Y54" i="860"/>
  <c r="V54" i="860"/>
  <c r="U54" i="860"/>
  <c r="T54" i="860"/>
  <c r="S54" i="860"/>
  <c r="Q54" i="860"/>
  <c r="P54" i="860"/>
  <c r="P66" i="860"/>
  <c r="O54" i="860"/>
  <c r="N54" i="860"/>
  <c r="K54" i="860"/>
  <c r="I54" i="860"/>
  <c r="G54" i="860"/>
  <c r="E54" i="860"/>
  <c r="I34" i="860"/>
  <c r="P27" i="258"/>
  <c r="C54" i="860"/>
  <c r="A54" i="860"/>
  <c r="D29" i="860"/>
  <c r="D27" i="258"/>
  <c r="T27" i="860"/>
  <c r="AF27" i="258"/>
  <c r="S27" i="860"/>
  <c r="AE27" i="258"/>
  <c r="P22" i="860"/>
  <c r="A19" i="860"/>
  <c r="T20" i="860"/>
  <c r="Y16" i="860"/>
  <c r="X16" i="860"/>
  <c r="AG27" i="258"/>
  <c r="W16" i="860"/>
  <c r="V16" i="860"/>
  <c r="AA27" i="258"/>
  <c r="U16" i="860"/>
  <c r="S16" i="860"/>
  <c r="S20" i="860"/>
  <c r="X27" i="258"/>
  <c r="R16" i="860"/>
  <c r="Q16" i="860"/>
  <c r="P16" i="860"/>
  <c r="O16" i="860"/>
  <c r="N16" i="860"/>
  <c r="M16" i="860"/>
  <c r="L16" i="860"/>
  <c r="K16" i="860"/>
  <c r="J16" i="860"/>
  <c r="I16" i="860"/>
  <c r="H16" i="860"/>
  <c r="F16" i="860"/>
  <c r="E16" i="860"/>
  <c r="C16" i="860"/>
  <c r="H94" i="859"/>
  <c r="F94" i="859"/>
  <c r="D94" i="859"/>
  <c r="B94" i="859"/>
  <c r="K79" i="859"/>
  <c r="I79" i="859"/>
  <c r="E79" i="859"/>
  <c r="C79" i="859"/>
  <c r="A79" i="859"/>
  <c r="K78" i="859"/>
  <c r="I78" i="859"/>
  <c r="E78" i="859"/>
  <c r="C78" i="859"/>
  <c r="A78" i="859"/>
  <c r="K77" i="859"/>
  <c r="I77" i="859"/>
  <c r="E77" i="859"/>
  <c r="C77" i="859"/>
  <c r="A77" i="859"/>
  <c r="K76" i="859"/>
  <c r="I76" i="859"/>
  <c r="E76" i="859"/>
  <c r="C76" i="859"/>
  <c r="A76" i="859"/>
  <c r="K75" i="859"/>
  <c r="I75" i="859"/>
  <c r="E75" i="859"/>
  <c r="C75" i="859"/>
  <c r="A75" i="859"/>
  <c r="K74" i="859"/>
  <c r="I74" i="859"/>
  <c r="E74" i="859"/>
  <c r="C74" i="859"/>
  <c r="A74" i="859"/>
  <c r="K73" i="859"/>
  <c r="I73" i="859"/>
  <c r="E73" i="859"/>
  <c r="C73" i="859"/>
  <c r="A73" i="859"/>
  <c r="K72" i="859"/>
  <c r="I72" i="859"/>
  <c r="E72" i="859"/>
  <c r="C72" i="859"/>
  <c r="A72" i="859"/>
  <c r="K71" i="859"/>
  <c r="I71" i="859"/>
  <c r="E71" i="859"/>
  <c r="C71" i="859"/>
  <c r="A71" i="859"/>
  <c r="K70" i="859"/>
  <c r="I70" i="859"/>
  <c r="E70" i="859"/>
  <c r="C70" i="859"/>
  <c r="A70" i="859"/>
  <c r="K69" i="859"/>
  <c r="I69" i="859"/>
  <c r="E69" i="859"/>
  <c r="C69" i="859"/>
  <c r="A69" i="859"/>
  <c r="K68" i="859"/>
  <c r="I68" i="859"/>
  <c r="E68" i="859"/>
  <c r="C68" i="859"/>
  <c r="A68" i="859"/>
  <c r="AE65" i="859"/>
  <c r="AC65" i="859"/>
  <c r="AA65" i="859"/>
  <c r="Y65" i="859"/>
  <c r="V65" i="859"/>
  <c r="U65" i="859"/>
  <c r="T65" i="859"/>
  <c r="S65" i="859"/>
  <c r="Q65" i="859"/>
  <c r="P65" i="859"/>
  <c r="O65" i="859"/>
  <c r="N65" i="859"/>
  <c r="K65" i="859"/>
  <c r="I65" i="859"/>
  <c r="G65" i="859"/>
  <c r="E65" i="859"/>
  <c r="C65" i="859"/>
  <c r="A65" i="859"/>
  <c r="AE64" i="859"/>
  <c r="AC64" i="859"/>
  <c r="AA64" i="859"/>
  <c r="Y64" i="859"/>
  <c r="V64" i="859"/>
  <c r="U64" i="859"/>
  <c r="T64" i="859"/>
  <c r="S64" i="859"/>
  <c r="Q64" i="859"/>
  <c r="P64" i="859"/>
  <c r="O64" i="859"/>
  <c r="N64" i="859"/>
  <c r="K64" i="859"/>
  <c r="I64" i="859"/>
  <c r="G64" i="859"/>
  <c r="E64" i="859"/>
  <c r="C64" i="859"/>
  <c r="A64" i="859"/>
  <c r="AE63" i="859"/>
  <c r="AC63" i="859"/>
  <c r="AA63" i="859"/>
  <c r="Y63" i="859"/>
  <c r="V63" i="859"/>
  <c r="U63" i="859"/>
  <c r="T63" i="859"/>
  <c r="S63" i="859"/>
  <c r="Q63" i="859"/>
  <c r="P63" i="859"/>
  <c r="O63" i="859"/>
  <c r="N63" i="859"/>
  <c r="K63" i="859"/>
  <c r="I63" i="859"/>
  <c r="G63" i="859"/>
  <c r="E63" i="859"/>
  <c r="C63" i="859"/>
  <c r="A63" i="859"/>
  <c r="AE62" i="859"/>
  <c r="AC62" i="859"/>
  <c r="AA62" i="859"/>
  <c r="Y62" i="859"/>
  <c r="V62" i="859"/>
  <c r="U62" i="859"/>
  <c r="T62" i="859"/>
  <c r="S62" i="859"/>
  <c r="Q62" i="859"/>
  <c r="P62" i="859"/>
  <c r="O62" i="859"/>
  <c r="N62" i="859"/>
  <c r="K62" i="859"/>
  <c r="I62" i="859"/>
  <c r="G62" i="859"/>
  <c r="E62" i="859"/>
  <c r="C62" i="859"/>
  <c r="A62" i="859"/>
  <c r="AE61" i="859"/>
  <c r="AC61" i="859"/>
  <c r="AA61" i="859"/>
  <c r="Y61" i="859"/>
  <c r="V61" i="859"/>
  <c r="U61" i="859"/>
  <c r="T61" i="859"/>
  <c r="S61" i="859"/>
  <c r="Q61" i="859"/>
  <c r="P61" i="859"/>
  <c r="O61" i="859"/>
  <c r="N61" i="859"/>
  <c r="K61" i="859"/>
  <c r="I61" i="859"/>
  <c r="G61" i="859"/>
  <c r="E61" i="859"/>
  <c r="C61" i="859"/>
  <c r="A61" i="859"/>
  <c r="AE60" i="859"/>
  <c r="AC60" i="859"/>
  <c r="AA60" i="859"/>
  <c r="Y60" i="859"/>
  <c r="V60" i="859"/>
  <c r="U60" i="859"/>
  <c r="T60" i="859"/>
  <c r="S60" i="859"/>
  <c r="Q60" i="859"/>
  <c r="P60" i="859"/>
  <c r="O60" i="859"/>
  <c r="N60" i="859"/>
  <c r="K60" i="859"/>
  <c r="I60" i="859"/>
  <c r="G60" i="859"/>
  <c r="E60" i="859"/>
  <c r="C60" i="859"/>
  <c r="A60" i="859"/>
  <c r="AE59" i="859"/>
  <c r="AC59" i="859"/>
  <c r="AA59" i="859"/>
  <c r="Y59" i="859"/>
  <c r="V59" i="859"/>
  <c r="U59" i="859"/>
  <c r="T59" i="859"/>
  <c r="S59" i="859"/>
  <c r="Q59" i="859"/>
  <c r="P59" i="859"/>
  <c r="O59" i="859"/>
  <c r="N59" i="859"/>
  <c r="K59" i="859"/>
  <c r="I59" i="859"/>
  <c r="G59" i="859"/>
  <c r="E59" i="859"/>
  <c r="C59" i="859"/>
  <c r="A59" i="859"/>
  <c r="AE58" i="859"/>
  <c r="AC58" i="859"/>
  <c r="AA58" i="859"/>
  <c r="Y58" i="859"/>
  <c r="V58" i="859"/>
  <c r="U58" i="859"/>
  <c r="T58" i="859"/>
  <c r="S58" i="859"/>
  <c r="Q58" i="859"/>
  <c r="P58" i="859"/>
  <c r="O58" i="859"/>
  <c r="N58" i="859"/>
  <c r="K58" i="859"/>
  <c r="I58" i="859"/>
  <c r="G58" i="859"/>
  <c r="E58" i="859"/>
  <c r="C58" i="859"/>
  <c r="A58" i="859"/>
  <c r="AE57" i="859"/>
  <c r="AC57" i="859"/>
  <c r="AA57" i="859"/>
  <c r="Y57" i="859"/>
  <c r="V57" i="859"/>
  <c r="U57" i="859"/>
  <c r="T57" i="859"/>
  <c r="S57" i="859"/>
  <c r="Q57" i="859"/>
  <c r="P57" i="859"/>
  <c r="O57" i="859"/>
  <c r="N57" i="859"/>
  <c r="K57" i="859"/>
  <c r="I57" i="859"/>
  <c r="G57" i="859"/>
  <c r="E57" i="859"/>
  <c r="C57" i="859"/>
  <c r="A57" i="859"/>
  <c r="AE56" i="859"/>
  <c r="AC56" i="859"/>
  <c r="AA56" i="859"/>
  <c r="Y56" i="859"/>
  <c r="V56" i="859"/>
  <c r="U56" i="859"/>
  <c r="T56" i="859"/>
  <c r="S56" i="859"/>
  <c r="Q56" i="859"/>
  <c r="P56" i="859"/>
  <c r="O56" i="859"/>
  <c r="N56" i="859"/>
  <c r="K56" i="859"/>
  <c r="N25" i="859"/>
  <c r="I56" i="859"/>
  <c r="G56" i="859"/>
  <c r="E56" i="859"/>
  <c r="C56" i="859"/>
  <c r="A56" i="859"/>
  <c r="AE55" i="859"/>
  <c r="AC55" i="859"/>
  <c r="AA55" i="859"/>
  <c r="Y55" i="859"/>
  <c r="V55" i="859"/>
  <c r="U55" i="859"/>
  <c r="T55" i="859"/>
  <c r="S55" i="859"/>
  <c r="Q55" i="859"/>
  <c r="P55" i="859"/>
  <c r="O55" i="859"/>
  <c r="N55" i="859"/>
  <c r="K55" i="859"/>
  <c r="I55" i="859"/>
  <c r="G55" i="859"/>
  <c r="K37" i="859"/>
  <c r="E55" i="859"/>
  <c r="C55" i="859"/>
  <c r="A55" i="859"/>
  <c r="AE54" i="859"/>
  <c r="AC54" i="859"/>
  <c r="AA54" i="859"/>
  <c r="Y54" i="859"/>
  <c r="V54" i="859"/>
  <c r="U54" i="859"/>
  <c r="U66" i="859"/>
  <c r="T54" i="859"/>
  <c r="S54" i="859"/>
  <c r="Q54" i="859"/>
  <c r="P54" i="859"/>
  <c r="O54" i="859"/>
  <c r="N54" i="859"/>
  <c r="K54" i="859"/>
  <c r="I54" i="859"/>
  <c r="G54" i="859"/>
  <c r="E54" i="859"/>
  <c r="C54" i="859"/>
  <c r="A54" i="859"/>
  <c r="T27" i="859"/>
  <c r="AF28" i="258"/>
  <c r="S27" i="859"/>
  <c r="AE28" i="258"/>
  <c r="N22" i="859"/>
  <c r="A19" i="859"/>
  <c r="Y16" i="859"/>
  <c r="X16" i="859"/>
  <c r="AG28" i="258"/>
  <c r="W16" i="859"/>
  <c r="V16" i="859"/>
  <c r="S24" i="859"/>
  <c r="AI28" i="257"/>
  <c r="U16" i="859"/>
  <c r="S16" i="859"/>
  <c r="S20" i="859"/>
  <c r="X28" i="258"/>
  <c r="R16" i="859"/>
  <c r="Q16" i="859"/>
  <c r="P16" i="859"/>
  <c r="O16" i="859"/>
  <c r="N16" i="859"/>
  <c r="M16" i="859"/>
  <c r="L16" i="859"/>
  <c r="K16" i="859"/>
  <c r="J16" i="859"/>
  <c r="I16" i="859"/>
  <c r="F26" i="859"/>
  <c r="F28" i="257"/>
  <c r="H16" i="859"/>
  <c r="F16" i="859"/>
  <c r="E16" i="859"/>
  <c r="C16" i="859"/>
  <c r="H94" i="858"/>
  <c r="F94" i="858"/>
  <c r="D94" i="858"/>
  <c r="B94" i="858"/>
  <c r="K79" i="858"/>
  <c r="I79" i="858"/>
  <c r="E79" i="858"/>
  <c r="C79" i="858"/>
  <c r="A79" i="858"/>
  <c r="K78" i="858"/>
  <c r="I78" i="858"/>
  <c r="E78" i="858"/>
  <c r="C78" i="858"/>
  <c r="A78" i="858"/>
  <c r="K77" i="858"/>
  <c r="I77" i="858"/>
  <c r="E77" i="858"/>
  <c r="C77" i="858"/>
  <c r="A77" i="858"/>
  <c r="K76" i="858"/>
  <c r="I76" i="858"/>
  <c r="E76" i="858"/>
  <c r="C76" i="858"/>
  <c r="A76" i="858"/>
  <c r="K75" i="858"/>
  <c r="I75" i="858"/>
  <c r="E75" i="858"/>
  <c r="C75" i="858"/>
  <c r="A75" i="858"/>
  <c r="K74" i="858"/>
  <c r="I74" i="858"/>
  <c r="E74" i="858"/>
  <c r="C74" i="858"/>
  <c r="A74" i="858"/>
  <c r="K73" i="858"/>
  <c r="I73" i="858"/>
  <c r="E73" i="858"/>
  <c r="C73" i="858"/>
  <c r="A73" i="858"/>
  <c r="K72" i="858"/>
  <c r="I72" i="858"/>
  <c r="E72" i="858"/>
  <c r="C72" i="858"/>
  <c r="A72" i="858"/>
  <c r="K71" i="858"/>
  <c r="I71" i="858"/>
  <c r="E71" i="858"/>
  <c r="C71" i="858"/>
  <c r="A71" i="858"/>
  <c r="K70" i="858"/>
  <c r="I70" i="858"/>
  <c r="E70" i="858"/>
  <c r="C70" i="858"/>
  <c r="A70" i="858"/>
  <c r="K69" i="858"/>
  <c r="I69" i="858"/>
  <c r="E69" i="858"/>
  <c r="C69" i="858"/>
  <c r="A69" i="858"/>
  <c r="K68" i="858"/>
  <c r="I68" i="858"/>
  <c r="E68" i="858"/>
  <c r="C68" i="858"/>
  <c r="A68" i="858"/>
  <c r="AE65" i="858"/>
  <c r="AC65" i="858"/>
  <c r="AA65" i="858"/>
  <c r="Y65" i="858"/>
  <c r="V65" i="858"/>
  <c r="U65" i="858"/>
  <c r="T65" i="858"/>
  <c r="S65" i="858"/>
  <c r="Q65" i="858"/>
  <c r="P65" i="858"/>
  <c r="O65" i="858"/>
  <c r="N65" i="858"/>
  <c r="K65" i="858"/>
  <c r="I65" i="858"/>
  <c r="O22" i="858"/>
  <c r="G65" i="858"/>
  <c r="E65" i="858"/>
  <c r="C65" i="858"/>
  <c r="A65" i="858"/>
  <c r="AE64" i="858"/>
  <c r="AC64" i="858"/>
  <c r="AA64" i="858"/>
  <c r="Y64" i="858"/>
  <c r="V64" i="858"/>
  <c r="U64" i="858"/>
  <c r="T64" i="858"/>
  <c r="S64" i="858"/>
  <c r="Q64" i="858"/>
  <c r="P64" i="858"/>
  <c r="O64" i="858"/>
  <c r="N64" i="858"/>
  <c r="K64" i="858"/>
  <c r="I64" i="858"/>
  <c r="G64" i="858"/>
  <c r="E64" i="858"/>
  <c r="C64" i="858"/>
  <c r="A64" i="858"/>
  <c r="AE63" i="858"/>
  <c r="AC63" i="858"/>
  <c r="AA63" i="858"/>
  <c r="Y63" i="858"/>
  <c r="V63" i="858"/>
  <c r="U63" i="858"/>
  <c r="T63" i="858"/>
  <c r="S63" i="858"/>
  <c r="Q63" i="858"/>
  <c r="P63" i="858"/>
  <c r="O63" i="858"/>
  <c r="N63" i="858"/>
  <c r="K63" i="858"/>
  <c r="I63" i="858"/>
  <c r="G63" i="858"/>
  <c r="E63" i="858"/>
  <c r="C63" i="858"/>
  <c r="A63" i="858"/>
  <c r="AE62" i="858"/>
  <c r="AC62" i="858"/>
  <c r="AA62" i="858"/>
  <c r="Y62" i="858"/>
  <c r="V62" i="858"/>
  <c r="U62" i="858"/>
  <c r="T62" i="858"/>
  <c r="S62" i="858"/>
  <c r="Q62" i="858"/>
  <c r="P62" i="858"/>
  <c r="O62" i="858"/>
  <c r="N62" i="858"/>
  <c r="K62" i="858"/>
  <c r="I62" i="858"/>
  <c r="G62" i="858"/>
  <c r="E62" i="858"/>
  <c r="C62" i="858"/>
  <c r="A62" i="858"/>
  <c r="AE61" i="858"/>
  <c r="AC61" i="858"/>
  <c r="AA61" i="858"/>
  <c r="Y61" i="858"/>
  <c r="V61" i="858"/>
  <c r="U61" i="858"/>
  <c r="T61" i="858"/>
  <c r="S61" i="858"/>
  <c r="Q61" i="858"/>
  <c r="P61" i="858"/>
  <c r="O61" i="858"/>
  <c r="N61" i="858"/>
  <c r="K61" i="858"/>
  <c r="I61" i="858"/>
  <c r="G61" i="858"/>
  <c r="E61" i="858"/>
  <c r="C61" i="858"/>
  <c r="A61" i="858"/>
  <c r="AE60" i="858"/>
  <c r="AC60" i="858"/>
  <c r="AA60" i="858"/>
  <c r="Y60" i="858"/>
  <c r="V60" i="858"/>
  <c r="U60" i="858"/>
  <c r="T60" i="858"/>
  <c r="S60" i="858"/>
  <c r="Q60" i="858"/>
  <c r="P60" i="858"/>
  <c r="O60" i="858"/>
  <c r="N60" i="858"/>
  <c r="K60" i="858"/>
  <c r="I60" i="858"/>
  <c r="G60" i="858"/>
  <c r="E60" i="858"/>
  <c r="C60" i="858"/>
  <c r="A60" i="858"/>
  <c r="AE59" i="858"/>
  <c r="AC59" i="858"/>
  <c r="AA59" i="858"/>
  <c r="Y59" i="858"/>
  <c r="V59" i="858"/>
  <c r="U59" i="858"/>
  <c r="T59" i="858"/>
  <c r="S59" i="858"/>
  <c r="Q59" i="858"/>
  <c r="P59" i="858"/>
  <c r="O59" i="858"/>
  <c r="N59" i="858"/>
  <c r="K59" i="858"/>
  <c r="I59" i="858"/>
  <c r="G59" i="858"/>
  <c r="E59" i="858"/>
  <c r="C59" i="858"/>
  <c r="A59" i="858"/>
  <c r="AE58" i="858"/>
  <c r="AC58" i="858"/>
  <c r="AA58" i="858"/>
  <c r="Y58" i="858"/>
  <c r="V58" i="858"/>
  <c r="U58" i="858"/>
  <c r="T58" i="858"/>
  <c r="S58" i="858"/>
  <c r="Q58" i="858"/>
  <c r="P58" i="858"/>
  <c r="O58" i="858"/>
  <c r="N58" i="858"/>
  <c r="K58" i="858"/>
  <c r="I58" i="858"/>
  <c r="G58" i="858"/>
  <c r="E58" i="858"/>
  <c r="C58" i="858"/>
  <c r="A58" i="858"/>
  <c r="AE57" i="858"/>
  <c r="AC57" i="858"/>
  <c r="AA57" i="858"/>
  <c r="Y57" i="858"/>
  <c r="V57" i="858"/>
  <c r="U57" i="858"/>
  <c r="T57" i="858"/>
  <c r="S57" i="858"/>
  <c r="Q57" i="858"/>
  <c r="P57" i="858"/>
  <c r="O57" i="858"/>
  <c r="N57" i="858"/>
  <c r="K57" i="858"/>
  <c r="I57" i="858"/>
  <c r="G57" i="858"/>
  <c r="E57" i="858"/>
  <c r="C57" i="858"/>
  <c r="A57" i="858"/>
  <c r="AE56" i="858"/>
  <c r="AC56" i="858"/>
  <c r="AA56" i="858"/>
  <c r="Y56" i="858"/>
  <c r="V56" i="858"/>
  <c r="U56" i="858"/>
  <c r="T56" i="858"/>
  <c r="S56" i="858"/>
  <c r="Q56" i="858"/>
  <c r="P56" i="858"/>
  <c r="O56" i="858"/>
  <c r="N56" i="858"/>
  <c r="K56" i="858"/>
  <c r="I56" i="858"/>
  <c r="G56" i="858"/>
  <c r="E56" i="858"/>
  <c r="C56" i="858"/>
  <c r="A56" i="858"/>
  <c r="AE55" i="858"/>
  <c r="AC55" i="858"/>
  <c r="AA55" i="858"/>
  <c r="Y55" i="858"/>
  <c r="V55" i="858"/>
  <c r="U55" i="858"/>
  <c r="T55" i="858"/>
  <c r="S55" i="858"/>
  <c r="Q55" i="858"/>
  <c r="P55" i="858"/>
  <c r="O55" i="858"/>
  <c r="N55" i="858"/>
  <c r="K55" i="858"/>
  <c r="I55" i="858"/>
  <c r="G55" i="858"/>
  <c r="E55" i="858"/>
  <c r="C55" i="858"/>
  <c r="A55" i="858"/>
  <c r="AE54" i="858"/>
  <c r="AC54" i="858"/>
  <c r="AC66" i="858"/>
  <c r="AA54" i="858"/>
  <c r="Y54" i="858"/>
  <c r="V54" i="858"/>
  <c r="U54" i="858"/>
  <c r="U66" i="858"/>
  <c r="T54" i="858"/>
  <c r="S54" i="858"/>
  <c r="Q54" i="858"/>
  <c r="P54" i="858"/>
  <c r="P66" i="858"/>
  <c r="O54" i="858"/>
  <c r="N54" i="858"/>
  <c r="K54" i="858"/>
  <c r="Q25" i="858"/>
  <c r="I54" i="858"/>
  <c r="N22" i="858"/>
  <c r="G54" i="858"/>
  <c r="E54" i="858"/>
  <c r="C54" i="858"/>
  <c r="A54" i="858"/>
  <c r="T27" i="858"/>
  <c r="AF29" i="258"/>
  <c r="S27" i="858"/>
  <c r="AE29" i="258"/>
  <c r="N25" i="858"/>
  <c r="J24" i="858"/>
  <c r="K29" i="257"/>
  <c r="A19" i="858"/>
  <c r="T20" i="858"/>
  <c r="Y16" i="858"/>
  <c r="X16" i="858"/>
  <c r="AG29" i="258"/>
  <c r="W16" i="858"/>
  <c r="V16" i="858"/>
  <c r="AA29" i="258"/>
  <c r="U16" i="858"/>
  <c r="S16" i="858"/>
  <c r="S20" i="858"/>
  <c r="X29" i="258"/>
  <c r="R16" i="858"/>
  <c r="Q16" i="858"/>
  <c r="P16" i="858"/>
  <c r="O16" i="858"/>
  <c r="N16" i="858"/>
  <c r="M16" i="858"/>
  <c r="L16" i="858"/>
  <c r="K16" i="858"/>
  <c r="J16" i="858"/>
  <c r="I16" i="858"/>
  <c r="H16" i="858"/>
  <c r="F16" i="858"/>
  <c r="E16" i="858"/>
  <c r="C16" i="858"/>
  <c r="H94" i="857"/>
  <c r="F94" i="857"/>
  <c r="D94" i="857"/>
  <c r="B94" i="857"/>
  <c r="K79" i="857"/>
  <c r="I79" i="857"/>
  <c r="E79" i="857"/>
  <c r="C79" i="857"/>
  <c r="A79" i="857"/>
  <c r="K78" i="857"/>
  <c r="I78" i="857"/>
  <c r="E78" i="857"/>
  <c r="C78" i="857"/>
  <c r="A78" i="857"/>
  <c r="K77" i="857"/>
  <c r="I77" i="857"/>
  <c r="E77" i="857"/>
  <c r="C77" i="857"/>
  <c r="A77" i="857"/>
  <c r="K76" i="857"/>
  <c r="I76" i="857"/>
  <c r="E76" i="857"/>
  <c r="C76" i="857"/>
  <c r="A76" i="857"/>
  <c r="K75" i="857"/>
  <c r="I75" i="857"/>
  <c r="E75" i="857"/>
  <c r="C75" i="857"/>
  <c r="A75" i="857"/>
  <c r="K74" i="857"/>
  <c r="I74" i="857"/>
  <c r="E74" i="857"/>
  <c r="C74" i="857"/>
  <c r="A74" i="857"/>
  <c r="K73" i="857"/>
  <c r="I73" i="857"/>
  <c r="E73" i="857"/>
  <c r="C73" i="857"/>
  <c r="A73" i="857"/>
  <c r="K72" i="857"/>
  <c r="I72" i="857"/>
  <c r="E72" i="857"/>
  <c r="C72" i="857"/>
  <c r="A72" i="857"/>
  <c r="K71" i="857"/>
  <c r="I71" i="857"/>
  <c r="E71" i="857"/>
  <c r="C71" i="857"/>
  <c r="A71" i="857"/>
  <c r="K70" i="857"/>
  <c r="I70" i="857"/>
  <c r="E70" i="857"/>
  <c r="C70" i="857"/>
  <c r="A70" i="857"/>
  <c r="K69" i="857"/>
  <c r="I69" i="857"/>
  <c r="E69" i="857"/>
  <c r="C69" i="857"/>
  <c r="A69" i="857"/>
  <c r="K68" i="857"/>
  <c r="I68" i="857"/>
  <c r="E68" i="857"/>
  <c r="C68" i="857"/>
  <c r="A68" i="857"/>
  <c r="AE65" i="857"/>
  <c r="AC65" i="857"/>
  <c r="AA65" i="857"/>
  <c r="Y65" i="857"/>
  <c r="V65" i="857"/>
  <c r="U65" i="857"/>
  <c r="T65" i="857"/>
  <c r="S65" i="857"/>
  <c r="Q65" i="857"/>
  <c r="P65" i="857"/>
  <c r="O65" i="857"/>
  <c r="N65" i="857"/>
  <c r="K65" i="857"/>
  <c r="I65" i="857"/>
  <c r="G65" i="857"/>
  <c r="E65" i="857"/>
  <c r="C65" i="857"/>
  <c r="A65" i="857"/>
  <c r="AE64" i="857"/>
  <c r="AC64" i="857"/>
  <c r="AA64" i="857"/>
  <c r="Y64" i="857"/>
  <c r="V64" i="857"/>
  <c r="U64" i="857"/>
  <c r="T64" i="857"/>
  <c r="S64" i="857"/>
  <c r="Q64" i="857"/>
  <c r="P64" i="857"/>
  <c r="O64" i="857"/>
  <c r="N64" i="857"/>
  <c r="K64" i="857"/>
  <c r="I64" i="857"/>
  <c r="G64" i="857"/>
  <c r="E64" i="857"/>
  <c r="C64" i="857"/>
  <c r="A64" i="857"/>
  <c r="AE63" i="857"/>
  <c r="AC63" i="857"/>
  <c r="AA63" i="857"/>
  <c r="Y63" i="857"/>
  <c r="V63" i="857"/>
  <c r="U63" i="857"/>
  <c r="T63" i="857"/>
  <c r="S63" i="857"/>
  <c r="Q63" i="857"/>
  <c r="P63" i="857"/>
  <c r="O63" i="857"/>
  <c r="N63" i="857"/>
  <c r="K63" i="857"/>
  <c r="I63" i="857"/>
  <c r="G63" i="857"/>
  <c r="E63" i="857"/>
  <c r="C63" i="857"/>
  <c r="A63" i="857"/>
  <c r="AE62" i="857"/>
  <c r="AC62" i="857"/>
  <c r="AA62" i="857"/>
  <c r="Y62" i="857"/>
  <c r="V62" i="857"/>
  <c r="U62" i="857"/>
  <c r="T62" i="857"/>
  <c r="S62" i="857"/>
  <c r="Q62" i="857"/>
  <c r="P62" i="857"/>
  <c r="O62" i="857"/>
  <c r="N62" i="857"/>
  <c r="K62" i="857"/>
  <c r="I62" i="857"/>
  <c r="G62" i="857"/>
  <c r="E62" i="857"/>
  <c r="C62" i="857"/>
  <c r="A62" i="857"/>
  <c r="AE61" i="857"/>
  <c r="AC61" i="857"/>
  <c r="AA61" i="857"/>
  <c r="Y61" i="857"/>
  <c r="V61" i="857"/>
  <c r="U61" i="857"/>
  <c r="T61" i="857"/>
  <c r="S61" i="857"/>
  <c r="Q61" i="857"/>
  <c r="P61" i="857"/>
  <c r="O61" i="857"/>
  <c r="N61" i="857"/>
  <c r="K61" i="857"/>
  <c r="I61" i="857"/>
  <c r="G61" i="857"/>
  <c r="E61" i="857"/>
  <c r="C61" i="857"/>
  <c r="A61" i="857"/>
  <c r="AE60" i="857"/>
  <c r="AC60" i="857"/>
  <c r="AA60" i="857"/>
  <c r="Y60" i="857"/>
  <c r="V60" i="857"/>
  <c r="U60" i="857"/>
  <c r="T60" i="857"/>
  <c r="S60" i="857"/>
  <c r="Q60" i="857"/>
  <c r="P60" i="857"/>
  <c r="O60" i="857"/>
  <c r="N60" i="857"/>
  <c r="K60" i="857"/>
  <c r="I60" i="857"/>
  <c r="G60" i="857"/>
  <c r="E60" i="857"/>
  <c r="C60" i="857"/>
  <c r="A60" i="857"/>
  <c r="AE59" i="857"/>
  <c r="AC59" i="857"/>
  <c r="AA59" i="857"/>
  <c r="Y59" i="857"/>
  <c r="V59" i="857"/>
  <c r="U59" i="857"/>
  <c r="T59" i="857"/>
  <c r="S59" i="857"/>
  <c r="Q59" i="857"/>
  <c r="P59" i="857"/>
  <c r="O59" i="857"/>
  <c r="N59" i="857"/>
  <c r="K59" i="857"/>
  <c r="I59" i="857"/>
  <c r="G59" i="857"/>
  <c r="E59" i="857"/>
  <c r="C59" i="857"/>
  <c r="A59" i="857"/>
  <c r="AE58" i="857"/>
  <c r="AC58" i="857"/>
  <c r="AA58" i="857"/>
  <c r="Y58" i="857"/>
  <c r="V58" i="857"/>
  <c r="U58" i="857"/>
  <c r="T58" i="857"/>
  <c r="S58" i="857"/>
  <c r="Q58" i="857"/>
  <c r="P58" i="857"/>
  <c r="O58" i="857"/>
  <c r="N58" i="857"/>
  <c r="K58" i="857"/>
  <c r="I58" i="857"/>
  <c r="G58" i="857"/>
  <c r="E58" i="857"/>
  <c r="I34" i="857"/>
  <c r="T30" i="257"/>
  <c r="C58" i="857"/>
  <c r="A58" i="857"/>
  <c r="AE57" i="857"/>
  <c r="AC57" i="857"/>
  <c r="AA57" i="857"/>
  <c r="Y57" i="857"/>
  <c r="V57" i="857"/>
  <c r="U57" i="857"/>
  <c r="T57" i="857"/>
  <c r="S57" i="857"/>
  <c r="Q57" i="857"/>
  <c r="P57" i="857"/>
  <c r="O57" i="857"/>
  <c r="N57" i="857"/>
  <c r="K57" i="857"/>
  <c r="I57" i="857"/>
  <c r="G57" i="857"/>
  <c r="E57" i="857"/>
  <c r="C57" i="857"/>
  <c r="A57" i="857"/>
  <c r="AE56" i="857"/>
  <c r="AC56" i="857"/>
  <c r="AA56" i="857"/>
  <c r="Y56" i="857"/>
  <c r="V56" i="857"/>
  <c r="U56" i="857"/>
  <c r="T56" i="857"/>
  <c r="S56" i="857"/>
  <c r="Q56" i="857"/>
  <c r="P56" i="857"/>
  <c r="O56" i="857"/>
  <c r="N56" i="857"/>
  <c r="K56" i="857"/>
  <c r="I56" i="857"/>
  <c r="G56" i="857"/>
  <c r="E56" i="857"/>
  <c r="C56" i="857"/>
  <c r="A56" i="857"/>
  <c r="AE55" i="857"/>
  <c r="AC55" i="857"/>
  <c r="AA55" i="857"/>
  <c r="Y55" i="857"/>
  <c r="V55" i="857"/>
  <c r="V66" i="857"/>
  <c r="U55" i="857"/>
  <c r="T55" i="857"/>
  <c r="S55" i="857"/>
  <c r="Q55" i="857"/>
  <c r="P55" i="857"/>
  <c r="O55" i="857"/>
  <c r="N55" i="857"/>
  <c r="K55" i="857"/>
  <c r="I55" i="857"/>
  <c r="G55" i="857"/>
  <c r="E55" i="857"/>
  <c r="C55" i="857"/>
  <c r="A55" i="857"/>
  <c r="AE54" i="857"/>
  <c r="AC54" i="857"/>
  <c r="AA54" i="857"/>
  <c r="Y54" i="857"/>
  <c r="V54" i="857"/>
  <c r="U54" i="857"/>
  <c r="T54" i="857"/>
  <c r="S54" i="857"/>
  <c r="Q54" i="857"/>
  <c r="P54" i="857"/>
  <c r="O54" i="857"/>
  <c r="N54" i="857"/>
  <c r="K54" i="857"/>
  <c r="I54" i="857"/>
  <c r="G54" i="857"/>
  <c r="J37" i="857"/>
  <c r="S30" i="258"/>
  <c r="E54" i="857"/>
  <c r="J34" i="857"/>
  <c r="C54" i="857"/>
  <c r="A54" i="857"/>
  <c r="T27" i="857"/>
  <c r="AF30" i="258"/>
  <c r="S27" i="857"/>
  <c r="AE30" i="258"/>
  <c r="A19" i="857"/>
  <c r="T20" i="857"/>
  <c r="Y16" i="857"/>
  <c r="X16" i="857"/>
  <c r="AG30" i="258"/>
  <c r="W16" i="857"/>
  <c r="V16" i="857"/>
  <c r="U16" i="857"/>
  <c r="S16" i="857"/>
  <c r="S20" i="857"/>
  <c r="X30" i="258"/>
  <c r="R16" i="857"/>
  <c r="Q16" i="857"/>
  <c r="P16" i="857"/>
  <c r="O16" i="857"/>
  <c r="N16" i="857"/>
  <c r="M16" i="857"/>
  <c r="L16" i="857"/>
  <c r="K16" i="857"/>
  <c r="J16" i="857"/>
  <c r="I16" i="857"/>
  <c r="H16" i="857"/>
  <c r="F16" i="857"/>
  <c r="E16" i="857"/>
  <c r="B30" i="258"/>
  <c r="C16" i="857"/>
  <c r="H94" i="856"/>
  <c r="F94" i="856"/>
  <c r="D94" i="856"/>
  <c r="B94" i="856"/>
  <c r="K79" i="856"/>
  <c r="I79" i="856"/>
  <c r="E79" i="856"/>
  <c r="C79" i="856"/>
  <c r="A79" i="856"/>
  <c r="K78" i="856"/>
  <c r="I78" i="856"/>
  <c r="E78" i="856"/>
  <c r="C78" i="856"/>
  <c r="A78" i="856"/>
  <c r="K77" i="856"/>
  <c r="I77" i="856"/>
  <c r="E77" i="856"/>
  <c r="C77" i="856"/>
  <c r="A77" i="856"/>
  <c r="K76" i="856"/>
  <c r="I76" i="856"/>
  <c r="E76" i="856"/>
  <c r="C76" i="856"/>
  <c r="A76" i="856"/>
  <c r="K75" i="856"/>
  <c r="I75" i="856"/>
  <c r="E75" i="856"/>
  <c r="C75" i="856"/>
  <c r="A75" i="856"/>
  <c r="K74" i="856"/>
  <c r="I74" i="856"/>
  <c r="E74" i="856"/>
  <c r="C74" i="856"/>
  <c r="A74" i="856"/>
  <c r="K73" i="856"/>
  <c r="I73" i="856"/>
  <c r="E73" i="856"/>
  <c r="C73" i="856"/>
  <c r="A73" i="856"/>
  <c r="K72" i="856"/>
  <c r="I72" i="856"/>
  <c r="E72" i="856"/>
  <c r="C72" i="856"/>
  <c r="A72" i="856"/>
  <c r="K71" i="856"/>
  <c r="I71" i="856"/>
  <c r="E71" i="856"/>
  <c r="C71" i="856"/>
  <c r="A71" i="856"/>
  <c r="K70" i="856"/>
  <c r="I70" i="856"/>
  <c r="E70" i="856"/>
  <c r="C70" i="856"/>
  <c r="A70" i="856"/>
  <c r="K69" i="856"/>
  <c r="I69" i="856"/>
  <c r="E69" i="856"/>
  <c r="C69" i="856"/>
  <c r="A69" i="856"/>
  <c r="K68" i="856"/>
  <c r="I68" i="856"/>
  <c r="E68" i="856"/>
  <c r="C68" i="856"/>
  <c r="A68" i="856"/>
  <c r="AE65" i="856"/>
  <c r="AC65" i="856"/>
  <c r="AA65" i="856"/>
  <c r="Y65" i="856"/>
  <c r="V65" i="856"/>
  <c r="U65" i="856"/>
  <c r="T65" i="856"/>
  <c r="S65" i="856"/>
  <c r="Q65" i="856"/>
  <c r="P65" i="856"/>
  <c r="O65" i="856"/>
  <c r="N65" i="856"/>
  <c r="K65" i="856"/>
  <c r="I65" i="856"/>
  <c r="G65" i="856"/>
  <c r="E65" i="856"/>
  <c r="C65" i="856"/>
  <c r="A65" i="856"/>
  <c r="AE64" i="856"/>
  <c r="AC64" i="856"/>
  <c r="AA64" i="856"/>
  <c r="Y64" i="856"/>
  <c r="V64" i="856"/>
  <c r="U64" i="856"/>
  <c r="T64" i="856"/>
  <c r="S64" i="856"/>
  <c r="Q64" i="856"/>
  <c r="P64" i="856"/>
  <c r="O64" i="856"/>
  <c r="N64" i="856"/>
  <c r="K64" i="856"/>
  <c r="I64" i="856"/>
  <c r="G64" i="856"/>
  <c r="E64" i="856"/>
  <c r="C64" i="856"/>
  <c r="A64" i="856"/>
  <c r="AE63" i="856"/>
  <c r="AC63" i="856"/>
  <c r="AA63" i="856"/>
  <c r="Y63" i="856"/>
  <c r="V63" i="856"/>
  <c r="U63" i="856"/>
  <c r="T63" i="856"/>
  <c r="S63" i="856"/>
  <c r="Q63" i="856"/>
  <c r="P63" i="856"/>
  <c r="O63" i="856"/>
  <c r="N63" i="856"/>
  <c r="K63" i="856"/>
  <c r="I63" i="856"/>
  <c r="G63" i="856"/>
  <c r="E63" i="856"/>
  <c r="C63" i="856"/>
  <c r="A63" i="856"/>
  <c r="AE62" i="856"/>
  <c r="AC62" i="856"/>
  <c r="AA62" i="856"/>
  <c r="Y62" i="856"/>
  <c r="V62" i="856"/>
  <c r="U62" i="856"/>
  <c r="T62" i="856"/>
  <c r="S62" i="856"/>
  <c r="Q62" i="856"/>
  <c r="P62" i="856"/>
  <c r="O62" i="856"/>
  <c r="N62" i="856"/>
  <c r="K62" i="856"/>
  <c r="I62" i="856"/>
  <c r="G62" i="856"/>
  <c r="E62" i="856"/>
  <c r="C62" i="856"/>
  <c r="A62" i="856"/>
  <c r="AE61" i="856"/>
  <c r="AC61" i="856"/>
  <c r="AA61" i="856"/>
  <c r="Y61" i="856"/>
  <c r="V61" i="856"/>
  <c r="U61" i="856"/>
  <c r="T61" i="856"/>
  <c r="S61" i="856"/>
  <c r="Q61" i="856"/>
  <c r="P61" i="856"/>
  <c r="O61" i="856"/>
  <c r="N61" i="856"/>
  <c r="K61" i="856"/>
  <c r="I61" i="856"/>
  <c r="G61" i="856"/>
  <c r="E61" i="856"/>
  <c r="C61" i="856"/>
  <c r="A61" i="856"/>
  <c r="AE60" i="856"/>
  <c r="AC60" i="856"/>
  <c r="AA60" i="856"/>
  <c r="Y60" i="856"/>
  <c r="V60" i="856"/>
  <c r="U60" i="856"/>
  <c r="T60" i="856"/>
  <c r="S60" i="856"/>
  <c r="Q60" i="856"/>
  <c r="P60" i="856"/>
  <c r="O60" i="856"/>
  <c r="N60" i="856"/>
  <c r="K60" i="856"/>
  <c r="I60" i="856"/>
  <c r="G60" i="856"/>
  <c r="E60" i="856"/>
  <c r="C60" i="856"/>
  <c r="A60" i="856"/>
  <c r="AE59" i="856"/>
  <c r="AC59" i="856"/>
  <c r="AA59" i="856"/>
  <c r="Y59" i="856"/>
  <c r="V59" i="856"/>
  <c r="U59" i="856"/>
  <c r="T59" i="856"/>
  <c r="S59" i="856"/>
  <c r="Q59" i="856"/>
  <c r="P59" i="856"/>
  <c r="O59" i="856"/>
  <c r="N59" i="856"/>
  <c r="K59" i="856"/>
  <c r="I59" i="856"/>
  <c r="G59" i="856"/>
  <c r="E59" i="856"/>
  <c r="C59" i="856"/>
  <c r="A59" i="856"/>
  <c r="AE58" i="856"/>
  <c r="AC58" i="856"/>
  <c r="AA58" i="856"/>
  <c r="Y58" i="856"/>
  <c r="V58" i="856"/>
  <c r="U58" i="856"/>
  <c r="T58" i="856"/>
  <c r="S58" i="856"/>
  <c r="Q58" i="856"/>
  <c r="P58" i="856"/>
  <c r="O58" i="856"/>
  <c r="N58" i="856"/>
  <c r="K58" i="856"/>
  <c r="I58" i="856"/>
  <c r="G58" i="856"/>
  <c r="E58" i="856"/>
  <c r="C58" i="856"/>
  <c r="A58" i="856"/>
  <c r="AE57" i="856"/>
  <c r="AC57" i="856"/>
  <c r="AA57" i="856"/>
  <c r="Y57" i="856"/>
  <c r="V57" i="856"/>
  <c r="U57" i="856"/>
  <c r="T57" i="856"/>
  <c r="S57" i="856"/>
  <c r="Q57" i="856"/>
  <c r="P57" i="856"/>
  <c r="O57" i="856"/>
  <c r="N57" i="856"/>
  <c r="K57" i="856"/>
  <c r="I57" i="856"/>
  <c r="G57" i="856"/>
  <c r="E57" i="856"/>
  <c r="C57" i="856"/>
  <c r="A57" i="856"/>
  <c r="AE56" i="856"/>
  <c r="AC56" i="856"/>
  <c r="AA56" i="856"/>
  <c r="Y56" i="856"/>
  <c r="V56" i="856"/>
  <c r="U56" i="856"/>
  <c r="T56" i="856"/>
  <c r="S56" i="856"/>
  <c r="Q56" i="856"/>
  <c r="P56" i="856"/>
  <c r="O56" i="856"/>
  <c r="N56" i="856"/>
  <c r="K56" i="856"/>
  <c r="I56" i="856"/>
  <c r="G56" i="856"/>
  <c r="E56" i="856"/>
  <c r="C56" i="856"/>
  <c r="A56" i="856"/>
  <c r="K24" i="856"/>
  <c r="I31" i="258"/>
  <c r="AE55" i="856"/>
  <c r="AC55" i="856"/>
  <c r="AA55" i="856"/>
  <c r="Y55" i="856"/>
  <c r="V55" i="856"/>
  <c r="U55" i="856"/>
  <c r="T55" i="856"/>
  <c r="S55" i="856"/>
  <c r="Q55" i="856"/>
  <c r="P55" i="856"/>
  <c r="O55" i="856"/>
  <c r="N55" i="856"/>
  <c r="K55" i="856"/>
  <c r="I55" i="856"/>
  <c r="G55" i="856"/>
  <c r="E55" i="856"/>
  <c r="C55" i="856"/>
  <c r="A55" i="856"/>
  <c r="AE54" i="856"/>
  <c r="AC54" i="856"/>
  <c r="AC66" i="856"/>
  <c r="AA54" i="856"/>
  <c r="Y54" i="856"/>
  <c r="V54" i="856"/>
  <c r="U54" i="856"/>
  <c r="T54" i="856"/>
  <c r="S54" i="856"/>
  <c r="Q54" i="856"/>
  <c r="P54" i="856"/>
  <c r="O54" i="856"/>
  <c r="N54" i="856"/>
  <c r="K54" i="856"/>
  <c r="I54" i="856"/>
  <c r="G54" i="856"/>
  <c r="E54" i="856"/>
  <c r="C54" i="856"/>
  <c r="A54" i="856"/>
  <c r="I24" i="856"/>
  <c r="G31" i="258"/>
  <c r="T27" i="856"/>
  <c r="AF31" i="258"/>
  <c r="S27" i="856"/>
  <c r="AE31" i="258"/>
  <c r="N25" i="856"/>
  <c r="A19" i="856"/>
  <c r="T20" i="856"/>
  <c r="Y16" i="856"/>
  <c r="X16" i="856"/>
  <c r="AG31" i="258"/>
  <c r="W16" i="856"/>
  <c r="V16" i="856"/>
  <c r="AA31" i="258"/>
  <c r="U16" i="856"/>
  <c r="S16" i="856"/>
  <c r="S20" i="856"/>
  <c r="X31" i="258"/>
  <c r="R16" i="856"/>
  <c r="Q16" i="856"/>
  <c r="P16" i="856"/>
  <c r="O16" i="856"/>
  <c r="N16" i="856"/>
  <c r="M16" i="856"/>
  <c r="L16" i="856"/>
  <c r="K16" i="856"/>
  <c r="J16" i="856"/>
  <c r="I16" i="856"/>
  <c r="C31" i="258"/>
  <c r="H16" i="856"/>
  <c r="F16" i="856"/>
  <c r="E16" i="856"/>
  <c r="B31" i="258"/>
  <c r="C16" i="856"/>
  <c r="H94" i="855"/>
  <c r="F94" i="855"/>
  <c r="D94" i="855"/>
  <c r="B94" i="855"/>
  <c r="K79" i="855"/>
  <c r="I79" i="855"/>
  <c r="E79" i="855"/>
  <c r="C79" i="855"/>
  <c r="A79" i="855"/>
  <c r="K78" i="855"/>
  <c r="I78" i="855"/>
  <c r="E78" i="855"/>
  <c r="C78" i="855"/>
  <c r="A78" i="855"/>
  <c r="K77" i="855"/>
  <c r="I77" i="855"/>
  <c r="E77" i="855"/>
  <c r="C77" i="855"/>
  <c r="A77" i="855"/>
  <c r="K76" i="855"/>
  <c r="I76" i="855"/>
  <c r="E76" i="855"/>
  <c r="C76" i="855"/>
  <c r="A76" i="855"/>
  <c r="K75" i="855"/>
  <c r="I75" i="855"/>
  <c r="E75" i="855"/>
  <c r="C75" i="855"/>
  <c r="A75" i="855"/>
  <c r="K74" i="855"/>
  <c r="I74" i="855"/>
  <c r="E74" i="855"/>
  <c r="C74" i="855"/>
  <c r="A74" i="855"/>
  <c r="K73" i="855"/>
  <c r="I73" i="855"/>
  <c r="E73" i="855"/>
  <c r="C73" i="855"/>
  <c r="A73" i="855"/>
  <c r="K72" i="855"/>
  <c r="I72" i="855"/>
  <c r="E72" i="855"/>
  <c r="C72" i="855"/>
  <c r="A72" i="855"/>
  <c r="K71" i="855"/>
  <c r="I71" i="855"/>
  <c r="E71" i="855"/>
  <c r="C71" i="855"/>
  <c r="A71" i="855"/>
  <c r="K70" i="855"/>
  <c r="I70" i="855"/>
  <c r="E70" i="855"/>
  <c r="C70" i="855"/>
  <c r="A70" i="855"/>
  <c r="K69" i="855"/>
  <c r="I69" i="855"/>
  <c r="E69" i="855"/>
  <c r="C69" i="855"/>
  <c r="A69" i="855"/>
  <c r="K68" i="855"/>
  <c r="I68" i="855"/>
  <c r="E68" i="855"/>
  <c r="C68" i="855"/>
  <c r="A68" i="855"/>
  <c r="AE65" i="855"/>
  <c r="AC65" i="855"/>
  <c r="AA65" i="855"/>
  <c r="Y65" i="855"/>
  <c r="V65" i="855"/>
  <c r="U65" i="855"/>
  <c r="T65" i="855"/>
  <c r="S65" i="855"/>
  <c r="Q65" i="855"/>
  <c r="P65" i="855"/>
  <c r="O65" i="855"/>
  <c r="N65" i="855"/>
  <c r="K65" i="855"/>
  <c r="I65" i="855"/>
  <c r="G65" i="855"/>
  <c r="E65" i="855"/>
  <c r="C65" i="855"/>
  <c r="A65" i="855"/>
  <c r="AE64" i="855"/>
  <c r="AC64" i="855"/>
  <c r="AA64" i="855"/>
  <c r="Y64" i="855"/>
  <c r="V64" i="855"/>
  <c r="U64" i="855"/>
  <c r="T64" i="855"/>
  <c r="S64" i="855"/>
  <c r="Q64" i="855"/>
  <c r="P64" i="855"/>
  <c r="O64" i="855"/>
  <c r="N64" i="855"/>
  <c r="K64" i="855"/>
  <c r="I64" i="855"/>
  <c r="G64" i="855"/>
  <c r="E64" i="855"/>
  <c r="C64" i="855"/>
  <c r="A64" i="855"/>
  <c r="AE63" i="855"/>
  <c r="AC63" i="855"/>
  <c r="AA63" i="855"/>
  <c r="Y63" i="855"/>
  <c r="V63" i="855"/>
  <c r="U63" i="855"/>
  <c r="T63" i="855"/>
  <c r="S63" i="855"/>
  <c r="Q63" i="855"/>
  <c r="P63" i="855"/>
  <c r="O63" i="855"/>
  <c r="N63" i="855"/>
  <c r="K63" i="855"/>
  <c r="I63" i="855"/>
  <c r="G63" i="855"/>
  <c r="E63" i="855"/>
  <c r="C63" i="855"/>
  <c r="A63" i="855"/>
  <c r="AE62" i="855"/>
  <c r="AC62" i="855"/>
  <c r="AA62" i="855"/>
  <c r="Y62" i="855"/>
  <c r="V62" i="855"/>
  <c r="U62" i="855"/>
  <c r="T62" i="855"/>
  <c r="S62" i="855"/>
  <c r="Q62" i="855"/>
  <c r="P62" i="855"/>
  <c r="O62" i="855"/>
  <c r="N62" i="855"/>
  <c r="K62" i="855"/>
  <c r="I62" i="855"/>
  <c r="G62" i="855"/>
  <c r="E62" i="855"/>
  <c r="C62" i="855"/>
  <c r="A62" i="855"/>
  <c r="AE61" i="855"/>
  <c r="AC61" i="855"/>
  <c r="AA61" i="855"/>
  <c r="Y61" i="855"/>
  <c r="V61" i="855"/>
  <c r="U61" i="855"/>
  <c r="T61" i="855"/>
  <c r="S61" i="855"/>
  <c r="Q61" i="855"/>
  <c r="P61" i="855"/>
  <c r="O61" i="855"/>
  <c r="N61" i="855"/>
  <c r="K61" i="855"/>
  <c r="I61" i="855"/>
  <c r="G61" i="855"/>
  <c r="E61" i="855"/>
  <c r="C61" i="855"/>
  <c r="A61" i="855"/>
  <c r="AE60" i="855"/>
  <c r="AC60" i="855"/>
  <c r="AA60" i="855"/>
  <c r="Y60" i="855"/>
  <c r="V60" i="855"/>
  <c r="U60" i="855"/>
  <c r="T60" i="855"/>
  <c r="S60" i="855"/>
  <c r="Q60" i="855"/>
  <c r="P60" i="855"/>
  <c r="O60" i="855"/>
  <c r="N60" i="855"/>
  <c r="K60" i="855"/>
  <c r="I60" i="855"/>
  <c r="G60" i="855"/>
  <c r="E60" i="855"/>
  <c r="C60" i="855"/>
  <c r="A60" i="855"/>
  <c r="AE59" i="855"/>
  <c r="AC59" i="855"/>
  <c r="AA59" i="855"/>
  <c r="Y59" i="855"/>
  <c r="V59" i="855"/>
  <c r="U59" i="855"/>
  <c r="T59" i="855"/>
  <c r="S59" i="855"/>
  <c r="Q59" i="855"/>
  <c r="P59" i="855"/>
  <c r="O59" i="855"/>
  <c r="N59" i="855"/>
  <c r="K59" i="855"/>
  <c r="I59" i="855"/>
  <c r="G59" i="855"/>
  <c r="E59" i="855"/>
  <c r="C59" i="855"/>
  <c r="A59" i="855"/>
  <c r="AE58" i="855"/>
  <c r="AC58" i="855"/>
  <c r="AA58" i="855"/>
  <c r="Y58" i="855"/>
  <c r="V58" i="855"/>
  <c r="U58" i="855"/>
  <c r="T58" i="855"/>
  <c r="S58" i="855"/>
  <c r="Q58" i="855"/>
  <c r="P58" i="855"/>
  <c r="O58" i="855"/>
  <c r="N58" i="855"/>
  <c r="K58" i="855"/>
  <c r="I58" i="855"/>
  <c r="G58" i="855"/>
  <c r="E58" i="855"/>
  <c r="C58" i="855"/>
  <c r="A58" i="855"/>
  <c r="AE57" i="855"/>
  <c r="AC57" i="855"/>
  <c r="AA57" i="855"/>
  <c r="Y57" i="855"/>
  <c r="V57" i="855"/>
  <c r="U57" i="855"/>
  <c r="T57" i="855"/>
  <c r="S57" i="855"/>
  <c r="Q57" i="855"/>
  <c r="P57" i="855"/>
  <c r="O57" i="855"/>
  <c r="N57" i="855"/>
  <c r="K57" i="855"/>
  <c r="I57" i="855"/>
  <c r="G57" i="855"/>
  <c r="E57" i="855"/>
  <c r="C57" i="855"/>
  <c r="A57" i="855"/>
  <c r="AE56" i="855"/>
  <c r="AC56" i="855"/>
  <c r="AA56" i="855"/>
  <c r="Y56" i="855"/>
  <c r="V56" i="855"/>
  <c r="U56" i="855"/>
  <c r="T56" i="855"/>
  <c r="S56" i="855"/>
  <c r="Q56" i="855"/>
  <c r="P56" i="855"/>
  <c r="O56" i="855"/>
  <c r="N56" i="855"/>
  <c r="K56" i="855"/>
  <c r="I56" i="855"/>
  <c r="G56" i="855"/>
  <c r="E56" i="855"/>
  <c r="C56" i="855"/>
  <c r="A56" i="855"/>
  <c r="AE55" i="855"/>
  <c r="AC55" i="855"/>
  <c r="AA55" i="855"/>
  <c r="Y55" i="855"/>
  <c r="V55" i="855"/>
  <c r="U55" i="855"/>
  <c r="T55" i="855"/>
  <c r="S55" i="855"/>
  <c r="Q55" i="855"/>
  <c r="P55" i="855"/>
  <c r="O55" i="855"/>
  <c r="N55" i="855"/>
  <c r="K55" i="855"/>
  <c r="I55" i="855"/>
  <c r="G55" i="855"/>
  <c r="E55" i="855"/>
  <c r="C55" i="855"/>
  <c r="A55" i="855"/>
  <c r="AE54" i="855"/>
  <c r="AC54" i="855"/>
  <c r="AA54" i="855"/>
  <c r="AA66" i="855"/>
  <c r="Y54" i="855"/>
  <c r="V54" i="855"/>
  <c r="U54" i="855"/>
  <c r="U66" i="855"/>
  <c r="T54" i="855"/>
  <c r="T66" i="855"/>
  <c r="S54" i="855"/>
  <c r="Q54" i="855"/>
  <c r="P54" i="855"/>
  <c r="O54" i="855"/>
  <c r="N54" i="855"/>
  <c r="K54" i="855"/>
  <c r="I54" i="855"/>
  <c r="G54" i="855"/>
  <c r="J37" i="855"/>
  <c r="S32" i="258"/>
  <c r="H17" i="259"/>
  <c r="E54" i="855"/>
  <c r="C54" i="855"/>
  <c r="A54" i="855"/>
  <c r="K37" i="855"/>
  <c r="T27" i="855"/>
  <c r="AF32" i="258"/>
  <c r="H28" i="259"/>
  <c r="S27" i="855"/>
  <c r="AE32" i="258"/>
  <c r="H27" i="259"/>
  <c r="P22" i="855"/>
  <c r="O22" i="855"/>
  <c r="C32" i="258"/>
  <c r="H4" i="259"/>
  <c r="A19" i="855"/>
  <c r="T20" i="855"/>
  <c r="Y16" i="855"/>
  <c r="X16" i="855"/>
  <c r="AG32" i="258"/>
  <c r="H29" i="259"/>
  <c r="W16" i="855"/>
  <c r="V16" i="855"/>
  <c r="AA32" i="258"/>
  <c r="H23" i="259"/>
  <c r="U16" i="855"/>
  <c r="S16" i="855"/>
  <c r="S20" i="855"/>
  <c r="X32" i="258"/>
  <c r="H20" i="259"/>
  <c r="R16" i="855"/>
  <c r="Q16" i="855"/>
  <c r="P16" i="855"/>
  <c r="O16" i="855"/>
  <c r="N16" i="855"/>
  <c r="M16" i="855"/>
  <c r="L16" i="855"/>
  <c r="K16" i="855"/>
  <c r="J16" i="855"/>
  <c r="I16" i="855"/>
  <c r="H16" i="855"/>
  <c r="F16" i="855"/>
  <c r="E16" i="855"/>
  <c r="B32" i="258"/>
  <c r="H3" i="259"/>
  <c r="C16" i="855"/>
  <c r="H94" i="854"/>
  <c r="F94" i="854"/>
  <c r="D94" i="854"/>
  <c r="B94" i="854"/>
  <c r="K79" i="854"/>
  <c r="I79" i="854"/>
  <c r="E79" i="854"/>
  <c r="C79" i="854"/>
  <c r="A79" i="854"/>
  <c r="K78" i="854"/>
  <c r="I78" i="854"/>
  <c r="E78" i="854"/>
  <c r="C78" i="854"/>
  <c r="A78" i="854"/>
  <c r="K77" i="854"/>
  <c r="I77" i="854"/>
  <c r="E77" i="854"/>
  <c r="C77" i="854"/>
  <c r="A77" i="854"/>
  <c r="K76" i="854"/>
  <c r="I76" i="854"/>
  <c r="E76" i="854"/>
  <c r="C76" i="854"/>
  <c r="A76" i="854"/>
  <c r="K75" i="854"/>
  <c r="I75" i="854"/>
  <c r="E75" i="854"/>
  <c r="C75" i="854"/>
  <c r="A75" i="854"/>
  <c r="K74" i="854"/>
  <c r="I74" i="854"/>
  <c r="E74" i="854"/>
  <c r="C74" i="854"/>
  <c r="A74" i="854"/>
  <c r="K73" i="854"/>
  <c r="I73" i="854"/>
  <c r="E73" i="854"/>
  <c r="C73" i="854"/>
  <c r="A73" i="854"/>
  <c r="K72" i="854"/>
  <c r="I72" i="854"/>
  <c r="E72" i="854"/>
  <c r="C72" i="854"/>
  <c r="A72" i="854"/>
  <c r="K71" i="854"/>
  <c r="I71" i="854"/>
  <c r="E71" i="854"/>
  <c r="C71" i="854"/>
  <c r="A71" i="854"/>
  <c r="K70" i="854"/>
  <c r="I70" i="854"/>
  <c r="E70" i="854"/>
  <c r="C70" i="854"/>
  <c r="A70" i="854"/>
  <c r="K69" i="854"/>
  <c r="I69" i="854"/>
  <c r="E69" i="854"/>
  <c r="C69" i="854"/>
  <c r="A69" i="854"/>
  <c r="K68" i="854"/>
  <c r="I68" i="854"/>
  <c r="E68" i="854"/>
  <c r="C68" i="854"/>
  <c r="A68" i="854"/>
  <c r="AE65" i="854"/>
  <c r="AC65" i="854"/>
  <c r="AA65" i="854"/>
  <c r="Y65" i="854"/>
  <c r="V65" i="854"/>
  <c r="U65" i="854"/>
  <c r="T65" i="854"/>
  <c r="S65" i="854"/>
  <c r="Q65" i="854"/>
  <c r="P65" i="854"/>
  <c r="O65" i="854"/>
  <c r="N65" i="854"/>
  <c r="K65" i="854"/>
  <c r="I65" i="854"/>
  <c r="G65" i="854"/>
  <c r="E65" i="854"/>
  <c r="C65" i="854"/>
  <c r="A65" i="854"/>
  <c r="AE64" i="854"/>
  <c r="AC64" i="854"/>
  <c r="AA64" i="854"/>
  <c r="Y64" i="854"/>
  <c r="V64" i="854"/>
  <c r="U64" i="854"/>
  <c r="T64" i="854"/>
  <c r="S64" i="854"/>
  <c r="Q64" i="854"/>
  <c r="P64" i="854"/>
  <c r="O64" i="854"/>
  <c r="N64" i="854"/>
  <c r="K64" i="854"/>
  <c r="I64" i="854"/>
  <c r="G64" i="854"/>
  <c r="E64" i="854"/>
  <c r="C64" i="854"/>
  <c r="A64" i="854"/>
  <c r="AE63" i="854"/>
  <c r="AC63" i="854"/>
  <c r="AA63" i="854"/>
  <c r="Y63" i="854"/>
  <c r="V63" i="854"/>
  <c r="U63" i="854"/>
  <c r="T63" i="854"/>
  <c r="S63" i="854"/>
  <c r="Q63" i="854"/>
  <c r="P63" i="854"/>
  <c r="O63" i="854"/>
  <c r="N63" i="854"/>
  <c r="K63" i="854"/>
  <c r="I63" i="854"/>
  <c r="G63" i="854"/>
  <c r="E63" i="854"/>
  <c r="C63" i="854"/>
  <c r="A63" i="854"/>
  <c r="AE62" i="854"/>
  <c r="AC62" i="854"/>
  <c r="AA62" i="854"/>
  <c r="Y62" i="854"/>
  <c r="V62" i="854"/>
  <c r="U62" i="854"/>
  <c r="T62" i="854"/>
  <c r="S62" i="854"/>
  <c r="Q62" i="854"/>
  <c r="P62" i="854"/>
  <c r="O62" i="854"/>
  <c r="N62" i="854"/>
  <c r="K62" i="854"/>
  <c r="I62" i="854"/>
  <c r="G62" i="854"/>
  <c r="E62" i="854"/>
  <c r="C62" i="854"/>
  <c r="A62" i="854"/>
  <c r="AE61" i="854"/>
  <c r="AC61" i="854"/>
  <c r="AA61" i="854"/>
  <c r="Y61" i="854"/>
  <c r="V61" i="854"/>
  <c r="U61" i="854"/>
  <c r="T61" i="854"/>
  <c r="S61" i="854"/>
  <c r="Q61" i="854"/>
  <c r="P61" i="854"/>
  <c r="O61" i="854"/>
  <c r="N61" i="854"/>
  <c r="K61" i="854"/>
  <c r="I61" i="854"/>
  <c r="G61" i="854"/>
  <c r="E61" i="854"/>
  <c r="C61" i="854"/>
  <c r="A61" i="854"/>
  <c r="AE60" i="854"/>
  <c r="AC60" i="854"/>
  <c r="AA60" i="854"/>
  <c r="Y60" i="854"/>
  <c r="V60" i="854"/>
  <c r="U60" i="854"/>
  <c r="T60" i="854"/>
  <c r="S60" i="854"/>
  <c r="Q60" i="854"/>
  <c r="P60" i="854"/>
  <c r="O60" i="854"/>
  <c r="N60" i="854"/>
  <c r="K60" i="854"/>
  <c r="I60" i="854"/>
  <c r="G60" i="854"/>
  <c r="E60" i="854"/>
  <c r="C60" i="854"/>
  <c r="A60" i="854"/>
  <c r="AE59" i="854"/>
  <c r="AC59" i="854"/>
  <c r="AA59" i="854"/>
  <c r="Y59" i="854"/>
  <c r="V59" i="854"/>
  <c r="U59" i="854"/>
  <c r="T59" i="854"/>
  <c r="S59" i="854"/>
  <c r="Q59" i="854"/>
  <c r="P59" i="854"/>
  <c r="O59" i="854"/>
  <c r="N59" i="854"/>
  <c r="K59" i="854"/>
  <c r="I59" i="854"/>
  <c r="G59" i="854"/>
  <c r="E59" i="854"/>
  <c r="C59" i="854"/>
  <c r="A59" i="854"/>
  <c r="AE58" i="854"/>
  <c r="AC58" i="854"/>
  <c r="AA58" i="854"/>
  <c r="Y58" i="854"/>
  <c r="V58" i="854"/>
  <c r="U58" i="854"/>
  <c r="T58" i="854"/>
  <c r="S58" i="854"/>
  <c r="Q58" i="854"/>
  <c r="P58" i="854"/>
  <c r="O58" i="854"/>
  <c r="N58" i="854"/>
  <c r="K58" i="854"/>
  <c r="I58" i="854"/>
  <c r="G58" i="854"/>
  <c r="E58" i="854"/>
  <c r="C58" i="854"/>
  <c r="A58" i="854"/>
  <c r="AE57" i="854"/>
  <c r="AC57" i="854"/>
  <c r="AA57" i="854"/>
  <c r="Y57" i="854"/>
  <c r="V57" i="854"/>
  <c r="U57" i="854"/>
  <c r="T57" i="854"/>
  <c r="S57" i="854"/>
  <c r="Q57" i="854"/>
  <c r="P57" i="854"/>
  <c r="O57" i="854"/>
  <c r="N57" i="854"/>
  <c r="K57" i="854"/>
  <c r="I57" i="854"/>
  <c r="G57" i="854"/>
  <c r="E57" i="854"/>
  <c r="C57" i="854"/>
  <c r="A57" i="854"/>
  <c r="AE56" i="854"/>
  <c r="AC56" i="854"/>
  <c r="AA56" i="854"/>
  <c r="Y56" i="854"/>
  <c r="V56" i="854"/>
  <c r="U56" i="854"/>
  <c r="T56" i="854"/>
  <c r="S56" i="854"/>
  <c r="Q56" i="854"/>
  <c r="P56" i="854"/>
  <c r="O56" i="854"/>
  <c r="N56" i="854"/>
  <c r="K56" i="854"/>
  <c r="I56" i="854"/>
  <c r="G56" i="854"/>
  <c r="E56" i="854"/>
  <c r="C56" i="854"/>
  <c r="A56" i="854"/>
  <c r="AE55" i="854"/>
  <c r="AC55" i="854"/>
  <c r="AA55" i="854"/>
  <c r="Y55" i="854"/>
  <c r="V55" i="854"/>
  <c r="U55" i="854"/>
  <c r="T55" i="854"/>
  <c r="S55" i="854"/>
  <c r="Q55" i="854"/>
  <c r="P55" i="854"/>
  <c r="O55" i="854"/>
  <c r="N55" i="854"/>
  <c r="K55" i="854"/>
  <c r="I55" i="854"/>
  <c r="G55" i="854"/>
  <c r="E55" i="854"/>
  <c r="C55" i="854"/>
  <c r="A55" i="854"/>
  <c r="AE54" i="854"/>
  <c r="AC54" i="854"/>
  <c r="AA54" i="854"/>
  <c r="Y54" i="854"/>
  <c r="V54" i="854"/>
  <c r="U54" i="854"/>
  <c r="T54" i="854"/>
  <c r="S54" i="854"/>
  <c r="Q54" i="854"/>
  <c r="P54" i="854"/>
  <c r="O54" i="854"/>
  <c r="N54" i="854"/>
  <c r="K54" i="854"/>
  <c r="I54" i="854"/>
  <c r="G54" i="854"/>
  <c r="E54" i="854"/>
  <c r="C54" i="854"/>
  <c r="A54" i="854"/>
  <c r="T27" i="854"/>
  <c r="AF33" i="258"/>
  <c r="S27" i="854"/>
  <c r="AE33" i="258"/>
  <c r="P22" i="854"/>
  <c r="A19" i="854"/>
  <c r="T20" i="854"/>
  <c r="Y16" i="854"/>
  <c r="X16" i="854"/>
  <c r="AG33" i="258"/>
  <c r="W16" i="854"/>
  <c r="V16" i="854"/>
  <c r="U16" i="854"/>
  <c r="S16" i="854"/>
  <c r="S20" i="854"/>
  <c r="X33" i="258"/>
  <c r="R16" i="854"/>
  <c r="Q16" i="854"/>
  <c r="P16" i="854"/>
  <c r="O16" i="854"/>
  <c r="N16" i="854"/>
  <c r="M16" i="854"/>
  <c r="L16" i="854"/>
  <c r="K16" i="854"/>
  <c r="J16" i="854"/>
  <c r="I16" i="854"/>
  <c r="H16" i="854"/>
  <c r="F16" i="854"/>
  <c r="E16" i="854"/>
  <c r="C16" i="854"/>
  <c r="H94" i="853"/>
  <c r="F94" i="853"/>
  <c r="D94" i="853"/>
  <c r="B94" i="853"/>
  <c r="K79" i="853"/>
  <c r="I79" i="853"/>
  <c r="E79" i="853"/>
  <c r="C79" i="853"/>
  <c r="A79" i="853"/>
  <c r="K78" i="853"/>
  <c r="I78" i="853"/>
  <c r="E78" i="853"/>
  <c r="C78" i="853"/>
  <c r="A78" i="853"/>
  <c r="K77" i="853"/>
  <c r="I77" i="853"/>
  <c r="E77" i="853"/>
  <c r="C77" i="853"/>
  <c r="A77" i="853"/>
  <c r="K76" i="853"/>
  <c r="I76" i="853"/>
  <c r="E76" i="853"/>
  <c r="C76" i="853"/>
  <c r="A76" i="853"/>
  <c r="K75" i="853"/>
  <c r="I75" i="853"/>
  <c r="E75" i="853"/>
  <c r="C75" i="853"/>
  <c r="A75" i="853"/>
  <c r="K74" i="853"/>
  <c r="I74" i="853"/>
  <c r="E74" i="853"/>
  <c r="C74" i="853"/>
  <c r="A74" i="853"/>
  <c r="K73" i="853"/>
  <c r="I73" i="853"/>
  <c r="E73" i="853"/>
  <c r="C73" i="853"/>
  <c r="A73" i="853"/>
  <c r="K72" i="853"/>
  <c r="I72" i="853"/>
  <c r="E72" i="853"/>
  <c r="C72" i="853"/>
  <c r="A72" i="853"/>
  <c r="K71" i="853"/>
  <c r="I71" i="853"/>
  <c r="E71" i="853"/>
  <c r="C71" i="853"/>
  <c r="A71" i="853"/>
  <c r="K70" i="853"/>
  <c r="I70" i="853"/>
  <c r="E70" i="853"/>
  <c r="C70" i="853"/>
  <c r="A70" i="853"/>
  <c r="K69" i="853"/>
  <c r="I69" i="853"/>
  <c r="E69" i="853"/>
  <c r="C69" i="853"/>
  <c r="A69" i="853"/>
  <c r="K68" i="853"/>
  <c r="I68" i="853"/>
  <c r="E68" i="853"/>
  <c r="C68" i="853"/>
  <c r="A68" i="853"/>
  <c r="AE65" i="853"/>
  <c r="AC65" i="853"/>
  <c r="AA65" i="853"/>
  <c r="Y65" i="853"/>
  <c r="V65" i="853"/>
  <c r="U65" i="853"/>
  <c r="T65" i="853"/>
  <c r="S65" i="853"/>
  <c r="Q65" i="853"/>
  <c r="P65" i="853"/>
  <c r="O65" i="853"/>
  <c r="N65" i="853"/>
  <c r="K65" i="853"/>
  <c r="I65" i="853"/>
  <c r="G65" i="853"/>
  <c r="E65" i="853"/>
  <c r="C65" i="853"/>
  <c r="A65" i="853"/>
  <c r="AE64" i="853"/>
  <c r="AC64" i="853"/>
  <c r="AA64" i="853"/>
  <c r="Y64" i="853"/>
  <c r="V64" i="853"/>
  <c r="U64" i="853"/>
  <c r="T64" i="853"/>
  <c r="S64" i="853"/>
  <c r="Q64" i="853"/>
  <c r="P64" i="853"/>
  <c r="O64" i="853"/>
  <c r="N64" i="853"/>
  <c r="K64" i="853"/>
  <c r="I64" i="853"/>
  <c r="G64" i="853"/>
  <c r="E64" i="853"/>
  <c r="C64" i="853"/>
  <c r="A64" i="853"/>
  <c r="AE63" i="853"/>
  <c r="AC63" i="853"/>
  <c r="AA63" i="853"/>
  <c r="Y63" i="853"/>
  <c r="V63" i="853"/>
  <c r="U63" i="853"/>
  <c r="T63" i="853"/>
  <c r="S63" i="853"/>
  <c r="Q63" i="853"/>
  <c r="P63" i="853"/>
  <c r="O63" i="853"/>
  <c r="N63" i="853"/>
  <c r="K63" i="853"/>
  <c r="I63" i="853"/>
  <c r="G63" i="853"/>
  <c r="E63" i="853"/>
  <c r="C63" i="853"/>
  <c r="A63" i="853"/>
  <c r="AE62" i="853"/>
  <c r="AC62" i="853"/>
  <c r="AA62" i="853"/>
  <c r="Y62" i="853"/>
  <c r="V62" i="853"/>
  <c r="U62" i="853"/>
  <c r="T62" i="853"/>
  <c r="S62" i="853"/>
  <c r="Q62" i="853"/>
  <c r="P62" i="853"/>
  <c r="O62" i="853"/>
  <c r="N62" i="853"/>
  <c r="K62" i="853"/>
  <c r="I62" i="853"/>
  <c r="G62" i="853"/>
  <c r="E62" i="853"/>
  <c r="C62" i="853"/>
  <c r="A62" i="853"/>
  <c r="AE61" i="853"/>
  <c r="AC61" i="853"/>
  <c r="AA61" i="853"/>
  <c r="Y61" i="853"/>
  <c r="V61" i="853"/>
  <c r="U61" i="853"/>
  <c r="T61" i="853"/>
  <c r="S61" i="853"/>
  <c r="Q61" i="853"/>
  <c r="P61" i="853"/>
  <c r="O61" i="853"/>
  <c r="N61" i="853"/>
  <c r="K61" i="853"/>
  <c r="I61" i="853"/>
  <c r="G61" i="853"/>
  <c r="E61" i="853"/>
  <c r="C61" i="853"/>
  <c r="A61" i="853"/>
  <c r="AE60" i="853"/>
  <c r="AC60" i="853"/>
  <c r="AA60" i="853"/>
  <c r="Y60" i="853"/>
  <c r="V60" i="853"/>
  <c r="U60" i="853"/>
  <c r="T60" i="853"/>
  <c r="S60" i="853"/>
  <c r="Q60" i="853"/>
  <c r="P60" i="853"/>
  <c r="O60" i="853"/>
  <c r="N60" i="853"/>
  <c r="K60" i="853"/>
  <c r="I60" i="853"/>
  <c r="G60" i="853"/>
  <c r="E60" i="853"/>
  <c r="C60" i="853"/>
  <c r="A60" i="853"/>
  <c r="AE59" i="853"/>
  <c r="AC59" i="853"/>
  <c r="AA59" i="853"/>
  <c r="Y59" i="853"/>
  <c r="V59" i="853"/>
  <c r="U59" i="853"/>
  <c r="T59" i="853"/>
  <c r="S59" i="853"/>
  <c r="Q59" i="853"/>
  <c r="P59" i="853"/>
  <c r="O59" i="853"/>
  <c r="N59" i="853"/>
  <c r="K59" i="853"/>
  <c r="I59" i="853"/>
  <c r="G59" i="853"/>
  <c r="E59" i="853"/>
  <c r="C59" i="853"/>
  <c r="A59" i="853"/>
  <c r="AE58" i="853"/>
  <c r="AC58" i="853"/>
  <c r="AA58" i="853"/>
  <c r="Y58" i="853"/>
  <c r="V58" i="853"/>
  <c r="U58" i="853"/>
  <c r="T58" i="853"/>
  <c r="S58" i="853"/>
  <c r="Q58" i="853"/>
  <c r="P58" i="853"/>
  <c r="O58" i="853"/>
  <c r="N58" i="853"/>
  <c r="K58" i="853"/>
  <c r="I58" i="853"/>
  <c r="G58" i="853"/>
  <c r="E58" i="853"/>
  <c r="C58" i="853"/>
  <c r="A58" i="853"/>
  <c r="AE57" i="853"/>
  <c r="AC57" i="853"/>
  <c r="AA57" i="853"/>
  <c r="Y57" i="853"/>
  <c r="V57" i="853"/>
  <c r="U57" i="853"/>
  <c r="T57" i="853"/>
  <c r="S57" i="853"/>
  <c r="Q57" i="853"/>
  <c r="P57" i="853"/>
  <c r="O57" i="853"/>
  <c r="N57" i="853"/>
  <c r="K57" i="853"/>
  <c r="I57" i="853"/>
  <c r="O22" i="853"/>
  <c r="G57" i="853"/>
  <c r="E57" i="853"/>
  <c r="C57" i="853"/>
  <c r="A57" i="853"/>
  <c r="AE56" i="853"/>
  <c r="AC56" i="853"/>
  <c r="AA56" i="853"/>
  <c r="Y56" i="853"/>
  <c r="V56" i="853"/>
  <c r="U56" i="853"/>
  <c r="T56" i="853"/>
  <c r="S56" i="853"/>
  <c r="Q56" i="853"/>
  <c r="P56" i="853"/>
  <c r="O56" i="853"/>
  <c r="N56" i="853"/>
  <c r="K56" i="853"/>
  <c r="I56" i="853"/>
  <c r="G56" i="853"/>
  <c r="E56" i="853"/>
  <c r="C56" i="853"/>
  <c r="A56" i="853"/>
  <c r="AE55" i="853"/>
  <c r="AC55" i="853"/>
  <c r="AA55" i="853"/>
  <c r="Y55" i="853"/>
  <c r="V55" i="853"/>
  <c r="U55" i="853"/>
  <c r="T55" i="853"/>
  <c r="S55" i="853"/>
  <c r="Q55" i="853"/>
  <c r="P55" i="853"/>
  <c r="O55" i="853"/>
  <c r="N55" i="853"/>
  <c r="K55" i="853"/>
  <c r="I55" i="853"/>
  <c r="G55" i="853"/>
  <c r="E55" i="853"/>
  <c r="C55" i="853"/>
  <c r="A55" i="853"/>
  <c r="AE54" i="853"/>
  <c r="AC54" i="853"/>
  <c r="AC66" i="853"/>
  <c r="AA54" i="853"/>
  <c r="Y54" i="853"/>
  <c r="Y66" i="853"/>
  <c r="V54" i="853"/>
  <c r="U54" i="853"/>
  <c r="T54" i="853"/>
  <c r="S54" i="853"/>
  <c r="Q54" i="853"/>
  <c r="P54" i="853"/>
  <c r="O54" i="853"/>
  <c r="N54" i="853"/>
  <c r="K54" i="853"/>
  <c r="Q25" i="853"/>
  <c r="I54" i="853"/>
  <c r="G54" i="853"/>
  <c r="E54" i="853"/>
  <c r="C54" i="853"/>
  <c r="A54" i="853"/>
  <c r="I24" i="853"/>
  <c r="J34" i="257"/>
  <c r="T27" i="853"/>
  <c r="AF34" i="258"/>
  <c r="S27" i="853"/>
  <c r="AE34" i="258"/>
  <c r="N25" i="853"/>
  <c r="K24" i="853"/>
  <c r="I34" i="258"/>
  <c r="A19" i="853"/>
  <c r="T20" i="853"/>
  <c r="Y16" i="853"/>
  <c r="X16" i="853"/>
  <c r="AG34" i="258"/>
  <c r="W16" i="853"/>
  <c r="V16" i="853"/>
  <c r="AA34" i="258"/>
  <c r="U16" i="853"/>
  <c r="S16" i="853"/>
  <c r="S20" i="853"/>
  <c r="X34" i="258"/>
  <c r="R16" i="853"/>
  <c r="Q16" i="853"/>
  <c r="P16" i="853"/>
  <c r="O16" i="853"/>
  <c r="N16" i="853"/>
  <c r="M16" i="853"/>
  <c r="L16" i="853"/>
  <c r="K16" i="853"/>
  <c r="J16" i="853"/>
  <c r="I16" i="853"/>
  <c r="E34" i="257"/>
  <c r="H16" i="853"/>
  <c r="F16" i="853"/>
  <c r="E16" i="853"/>
  <c r="B34" i="258"/>
  <c r="C16" i="853"/>
  <c r="H94" i="852"/>
  <c r="F94" i="852"/>
  <c r="D94" i="852"/>
  <c r="B94" i="852"/>
  <c r="K79" i="852"/>
  <c r="I79" i="852"/>
  <c r="E79" i="852"/>
  <c r="C79" i="852"/>
  <c r="A79" i="852"/>
  <c r="K78" i="852"/>
  <c r="I78" i="852"/>
  <c r="E78" i="852"/>
  <c r="C78" i="852"/>
  <c r="A78" i="852"/>
  <c r="K77" i="852"/>
  <c r="I77" i="852"/>
  <c r="E77" i="852"/>
  <c r="C77" i="852"/>
  <c r="A77" i="852"/>
  <c r="K76" i="852"/>
  <c r="I76" i="852"/>
  <c r="E76" i="852"/>
  <c r="C76" i="852"/>
  <c r="A76" i="852"/>
  <c r="K75" i="852"/>
  <c r="I75" i="852"/>
  <c r="E75" i="852"/>
  <c r="C75" i="852"/>
  <c r="A75" i="852"/>
  <c r="K74" i="852"/>
  <c r="I74" i="852"/>
  <c r="E74" i="852"/>
  <c r="C74" i="852"/>
  <c r="A74" i="852"/>
  <c r="K73" i="852"/>
  <c r="I73" i="852"/>
  <c r="E73" i="852"/>
  <c r="C73" i="852"/>
  <c r="A73" i="852"/>
  <c r="K72" i="852"/>
  <c r="I72" i="852"/>
  <c r="E72" i="852"/>
  <c r="C72" i="852"/>
  <c r="A72" i="852"/>
  <c r="K71" i="852"/>
  <c r="I71" i="852"/>
  <c r="E71" i="852"/>
  <c r="C71" i="852"/>
  <c r="A71" i="852"/>
  <c r="K70" i="852"/>
  <c r="I70" i="852"/>
  <c r="E70" i="852"/>
  <c r="C70" i="852"/>
  <c r="A70" i="852"/>
  <c r="K69" i="852"/>
  <c r="I69" i="852"/>
  <c r="E69" i="852"/>
  <c r="C69" i="852"/>
  <c r="A69" i="852"/>
  <c r="K68" i="852"/>
  <c r="I68" i="852"/>
  <c r="E68" i="852"/>
  <c r="C68" i="852"/>
  <c r="A68" i="852"/>
  <c r="AE65" i="852"/>
  <c r="AC65" i="852"/>
  <c r="AA65" i="852"/>
  <c r="Y65" i="852"/>
  <c r="V65" i="852"/>
  <c r="U65" i="852"/>
  <c r="T65" i="852"/>
  <c r="S65" i="852"/>
  <c r="Q65" i="852"/>
  <c r="P65" i="852"/>
  <c r="O65" i="852"/>
  <c r="N65" i="852"/>
  <c r="K65" i="852"/>
  <c r="I65" i="852"/>
  <c r="G65" i="852"/>
  <c r="E65" i="852"/>
  <c r="C65" i="852"/>
  <c r="A65" i="852"/>
  <c r="AE64" i="852"/>
  <c r="AC64" i="852"/>
  <c r="AA64" i="852"/>
  <c r="Y64" i="852"/>
  <c r="V64" i="852"/>
  <c r="U64" i="852"/>
  <c r="T64" i="852"/>
  <c r="S64" i="852"/>
  <c r="Q64" i="852"/>
  <c r="P64" i="852"/>
  <c r="O64" i="852"/>
  <c r="N64" i="852"/>
  <c r="K64" i="852"/>
  <c r="I64" i="852"/>
  <c r="G64" i="852"/>
  <c r="E64" i="852"/>
  <c r="C64" i="852"/>
  <c r="A64" i="852"/>
  <c r="AE63" i="852"/>
  <c r="AC63" i="852"/>
  <c r="AA63" i="852"/>
  <c r="Y63" i="852"/>
  <c r="V63" i="852"/>
  <c r="U63" i="852"/>
  <c r="T63" i="852"/>
  <c r="S63" i="852"/>
  <c r="Q63" i="852"/>
  <c r="P63" i="852"/>
  <c r="O63" i="852"/>
  <c r="N63" i="852"/>
  <c r="K63" i="852"/>
  <c r="I63" i="852"/>
  <c r="G63" i="852"/>
  <c r="E63" i="852"/>
  <c r="C63" i="852"/>
  <c r="A63" i="852"/>
  <c r="AE62" i="852"/>
  <c r="AC62" i="852"/>
  <c r="AA62" i="852"/>
  <c r="Y62" i="852"/>
  <c r="V62" i="852"/>
  <c r="U62" i="852"/>
  <c r="T62" i="852"/>
  <c r="S62" i="852"/>
  <c r="Q62" i="852"/>
  <c r="P62" i="852"/>
  <c r="O62" i="852"/>
  <c r="N62" i="852"/>
  <c r="K62" i="852"/>
  <c r="I62" i="852"/>
  <c r="G62" i="852"/>
  <c r="E62" i="852"/>
  <c r="C62" i="852"/>
  <c r="A62" i="852"/>
  <c r="AE61" i="852"/>
  <c r="AC61" i="852"/>
  <c r="AA61" i="852"/>
  <c r="Y61" i="852"/>
  <c r="V61" i="852"/>
  <c r="U61" i="852"/>
  <c r="T61" i="852"/>
  <c r="S61" i="852"/>
  <c r="Q61" i="852"/>
  <c r="P61" i="852"/>
  <c r="O61" i="852"/>
  <c r="N61" i="852"/>
  <c r="K61" i="852"/>
  <c r="I61" i="852"/>
  <c r="G61" i="852"/>
  <c r="E61" i="852"/>
  <c r="C61" i="852"/>
  <c r="A61" i="852"/>
  <c r="AE60" i="852"/>
  <c r="AC60" i="852"/>
  <c r="AA60" i="852"/>
  <c r="Y60" i="852"/>
  <c r="V60" i="852"/>
  <c r="U60" i="852"/>
  <c r="T60" i="852"/>
  <c r="S60" i="852"/>
  <c r="Q60" i="852"/>
  <c r="P60" i="852"/>
  <c r="O60" i="852"/>
  <c r="N60" i="852"/>
  <c r="K60" i="852"/>
  <c r="I60" i="852"/>
  <c r="G60" i="852"/>
  <c r="E60" i="852"/>
  <c r="C60" i="852"/>
  <c r="A60" i="852"/>
  <c r="AE59" i="852"/>
  <c r="AC59" i="852"/>
  <c r="AA59" i="852"/>
  <c r="Y59" i="852"/>
  <c r="V59" i="852"/>
  <c r="U59" i="852"/>
  <c r="T59" i="852"/>
  <c r="S59" i="852"/>
  <c r="Q59" i="852"/>
  <c r="P59" i="852"/>
  <c r="O59" i="852"/>
  <c r="N59" i="852"/>
  <c r="K59" i="852"/>
  <c r="I59" i="852"/>
  <c r="G59" i="852"/>
  <c r="E59" i="852"/>
  <c r="C59" i="852"/>
  <c r="A59" i="852"/>
  <c r="AE58" i="852"/>
  <c r="AC58" i="852"/>
  <c r="AA58" i="852"/>
  <c r="Y58" i="852"/>
  <c r="V58" i="852"/>
  <c r="U58" i="852"/>
  <c r="T58" i="852"/>
  <c r="S58" i="852"/>
  <c r="Q58" i="852"/>
  <c r="P58" i="852"/>
  <c r="O58" i="852"/>
  <c r="N58" i="852"/>
  <c r="K58" i="852"/>
  <c r="I58" i="852"/>
  <c r="G58" i="852"/>
  <c r="E58" i="852"/>
  <c r="C58" i="852"/>
  <c r="A58" i="852"/>
  <c r="AE57" i="852"/>
  <c r="AC57" i="852"/>
  <c r="AA57" i="852"/>
  <c r="Y57" i="852"/>
  <c r="V57" i="852"/>
  <c r="U57" i="852"/>
  <c r="T57" i="852"/>
  <c r="S57" i="852"/>
  <c r="Q57" i="852"/>
  <c r="P57" i="852"/>
  <c r="O57" i="852"/>
  <c r="N57" i="852"/>
  <c r="K57" i="852"/>
  <c r="I57" i="852"/>
  <c r="G57" i="852"/>
  <c r="E57" i="852"/>
  <c r="C57" i="852"/>
  <c r="A57" i="852"/>
  <c r="AE56" i="852"/>
  <c r="AC56" i="852"/>
  <c r="AA56" i="852"/>
  <c r="Y56" i="852"/>
  <c r="V56" i="852"/>
  <c r="U56" i="852"/>
  <c r="T56" i="852"/>
  <c r="S56" i="852"/>
  <c r="Q56" i="852"/>
  <c r="P56" i="852"/>
  <c r="O56" i="852"/>
  <c r="N56" i="852"/>
  <c r="K56" i="852"/>
  <c r="I56" i="852"/>
  <c r="G56" i="852"/>
  <c r="E56" i="852"/>
  <c r="J34" i="852"/>
  <c r="U35" i="257"/>
  <c r="C56" i="852"/>
  <c r="A56" i="852"/>
  <c r="K24" i="852"/>
  <c r="I35" i="258"/>
  <c r="AE55" i="852"/>
  <c r="AC55" i="852"/>
  <c r="AA55" i="852"/>
  <c r="Y55" i="852"/>
  <c r="V55" i="852"/>
  <c r="U55" i="852"/>
  <c r="T55" i="852"/>
  <c r="S55" i="852"/>
  <c r="Q55" i="852"/>
  <c r="P55" i="852"/>
  <c r="O55" i="852"/>
  <c r="N55" i="852"/>
  <c r="K55" i="852"/>
  <c r="I55" i="852"/>
  <c r="G55" i="852"/>
  <c r="E55" i="852"/>
  <c r="C55" i="852"/>
  <c r="J29" i="852"/>
  <c r="P35" i="257"/>
  <c r="A55" i="852"/>
  <c r="AE54" i="852"/>
  <c r="AC54" i="852"/>
  <c r="AA54" i="852"/>
  <c r="Y54" i="852"/>
  <c r="Y66" i="852"/>
  <c r="V54" i="852"/>
  <c r="U54" i="852"/>
  <c r="T54" i="852"/>
  <c r="S54" i="852"/>
  <c r="Q54" i="852"/>
  <c r="P54" i="852"/>
  <c r="P66" i="852"/>
  <c r="O54" i="852"/>
  <c r="N54" i="852"/>
  <c r="K54" i="852"/>
  <c r="I54" i="852"/>
  <c r="G54" i="852"/>
  <c r="E54" i="852"/>
  <c r="C54" i="852"/>
  <c r="A54" i="852"/>
  <c r="T27" i="852"/>
  <c r="AF35" i="258"/>
  <c r="S27" i="852"/>
  <c r="AE35" i="258"/>
  <c r="O22" i="852"/>
  <c r="E35" i="257"/>
  <c r="A19" i="852"/>
  <c r="T20" i="852"/>
  <c r="Y16" i="852"/>
  <c r="X16" i="852"/>
  <c r="AG35" i="258"/>
  <c r="W16" i="852"/>
  <c r="V16" i="852"/>
  <c r="AA35" i="258"/>
  <c r="U16" i="852"/>
  <c r="S16" i="852"/>
  <c r="S20" i="852"/>
  <c r="X35" i="258"/>
  <c r="R16" i="852"/>
  <c r="Q16" i="852"/>
  <c r="P16" i="852"/>
  <c r="O16" i="852"/>
  <c r="N16" i="852"/>
  <c r="M16" i="852"/>
  <c r="L16" i="852"/>
  <c r="K16" i="852"/>
  <c r="J16" i="852"/>
  <c r="I16" i="852"/>
  <c r="H16" i="852"/>
  <c r="F16" i="852"/>
  <c r="E16" i="852"/>
  <c r="B35" i="258"/>
  <c r="C16" i="852"/>
  <c r="H94" i="851"/>
  <c r="F94" i="851"/>
  <c r="D94" i="851"/>
  <c r="B94" i="851"/>
  <c r="K79" i="851"/>
  <c r="I79" i="851"/>
  <c r="E79" i="851"/>
  <c r="C79" i="851"/>
  <c r="A79" i="851"/>
  <c r="K78" i="851"/>
  <c r="I78" i="851"/>
  <c r="E78" i="851"/>
  <c r="C78" i="851"/>
  <c r="A78" i="851"/>
  <c r="K77" i="851"/>
  <c r="I77" i="851"/>
  <c r="E77" i="851"/>
  <c r="C77" i="851"/>
  <c r="A77" i="851"/>
  <c r="K76" i="851"/>
  <c r="I76" i="851"/>
  <c r="E76" i="851"/>
  <c r="C76" i="851"/>
  <c r="A76" i="851"/>
  <c r="K75" i="851"/>
  <c r="I75" i="851"/>
  <c r="E75" i="851"/>
  <c r="C75" i="851"/>
  <c r="A75" i="851"/>
  <c r="K74" i="851"/>
  <c r="I74" i="851"/>
  <c r="E74" i="851"/>
  <c r="C74" i="851"/>
  <c r="A74" i="851"/>
  <c r="K73" i="851"/>
  <c r="I73" i="851"/>
  <c r="E73" i="851"/>
  <c r="C73" i="851"/>
  <c r="A73" i="851"/>
  <c r="K72" i="851"/>
  <c r="I72" i="851"/>
  <c r="E72" i="851"/>
  <c r="C72" i="851"/>
  <c r="A72" i="851"/>
  <c r="K71" i="851"/>
  <c r="I71" i="851"/>
  <c r="E71" i="851"/>
  <c r="C71" i="851"/>
  <c r="A71" i="851"/>
  <c r="K70" i="851"/>
  <c r="I70" i="851"/>
  <c r="E70" i="851"/>
  <c r="C70" i="851"/>
  <c r="A70" i="851"/>
  <c r="K69" i="851"/>
  <c r="I69" i="851"/>
  <c r="E69" i="851"/>
  <c r="C69" i="851"/>
  <c r="A69" i="851"/>
  <c r="K68" i="851"/>
  <c r="I68" i="851"/>
  <c r="E68" i="851"/>
  <c r="C68" i="851"/>
  <c r="A68" i="851"/>
  <c r="AE65" i="851"/>
  <c r="AC65" i="851"/>
  <c r="AA65" i="851"/>
  <c r="Y65" i="851"/>
  <c r="V65" i="851"/>
  <c r="U65" i="851"/>
  <c r="T65" i="851"/>
  <c r="S65" i="851"/>
  <c r="Q65" i="851"/>
  <c r="P65" i="851"/>
  <c r="O65" i="851"/>
  <c r="N65" i="851"/>
  <c r="K65" i="851"/>
  <c r="I65" i="851"/>
  <c r="O22" i="851"/>
  <c r="G65" i="851"/>
  <c r="E65" i="851"/>
  <c r="C65" i="851"/>
  <c r="A65" i="851"/>
  <c r="AE64" i="851"/>
  <c r="AC64" i="851"/>
  <c r="AA64" i="851"/>
  <c r="Y64" i="851"/>
  <c r="V64" i="851"/>
  <c r="U64" i="851"/>
  <c r="T64" i="851"/>
  <c r="S64" i="851"/>
  <c r="Q64" i="851"/>
  <c r="P64" i="851"/>
  <c r="O64" i="851"/>
  <c r="N64" i="851"/>
  <c r="K64" i="851"/>
  <c r="I64" i="851"/>
  <c r="G64" i="851"/>
  <c r="E64" i="851"/>
  <c r="C64" i="851"/>
  <c r="A64" i="851"/>
  <c r="AE63" i="851"/>
  <c r="AC63" i="851"/>
  <c r="AA63" i="851"/>
  <c r="Y63" i="851"/>
  <c r="V63" i="851"/>
  <c r="U63" i="851"/>
  <c r="T63" i="851"/>
  <c r="S63" i="851"/>
  <c r="Q63" i="851"/>
  <c r="P63" i="851"/>
  <c r="O63" i="851"/>
  <c r="N63" i="851"/>
  <c r="K63" i="851"/>
  <c r="I63" i="851"/>
  <c r="G63" i="851"/>
  <c r="E63" i="851"/>
  <c r="C63" i="851"/>
  <c r="A63" i="851"/>
  <c r="AE62" i="851"/>
  <c r="AC62" i="851"/>
  <c r="AA62" i="851"/>
  <c r="Y62" i="851"/>
  <c r="V62" i="851"/>
  <c r="U62" i="851"/>
  <c r="T62" i="851"/>
  <c r="S62" i="851"/>
  <c r="Q62" i="851"/>
  <c r="P62" i="851"/>
  <c r="O62" i="851"/>
  <c r="N62" i="851"/>
  <c r="K62" i="851"/>
  <c r="I62" i="851"/>
  <c r="G62" i="851"/>
  <c r="E62" i="851"/>
  <c r="C62" i="851"/>
  <c r="A62" i="851"/>
  <c r="AE61" i="851"/>
  <c r="AC61" i="851"/>
  <c r="AA61" i="851"/>
  <c r="Y61" i="851"/>
  <c r="V61" i="851"/>
  <c r="U61" i="851"/>
  <c r="T61" i="851"/>
  <c r="S61" i="851"/>
  <c r="Q61" i="851"/>
  <c r="P61" i="851"/>
  <c r="O61" i="851"/>
  <c r="N61" i="851"/>
  <c r="K61" i="851"/>
  <c r="I61" i="851"/>
  <c r="G61" i="851"/>
  <c r="E61" i="851"/>
  <c r="C61" i="851"/>
  <c r="A61" i="851"/>
  <c r="AE60" i="851"/>
  <c r="AC60" i="851"/>
  <c r="AA60" i="851"/>
  <c r="Y60" i="851"/>
  <c r="V60" i="851"/>
  <c r="U60" i="851"/>
  <c r="T60" i="851"/>
  <c r="S60" i="851"/>
  <c r="Q60" i="851"/>
  <c r="P60" i="851"/>
  <c r="O60" i="851"/>
  <c r="N60" i="851"/>
  <c r="K60" i="851"/>
  <c r="I60" i="851"/>
  <c r="G60" i="851"/>
  <c r="E60" i="851"/>
  <c r="C60" i="851"/>
  <c r="A60" i="851"/>
  <c r="AE59" i="851"/>
  <c r="AC59" i="851"/>
  <c r="AA59" i="851"/>
  <c r="Y59" i="851"/>
  <c r="V59" i="851"/>
  <c r="U59" i="851"/>
  <c r="T59" i="851"/>
  <c r="S59" i="851"/>
  <c r="Q59" i="851"/>
  <c r="P59" i="851"/>
  <c r="O59" i="851"/>
  <c r="N59" i="851"/>
  <c r="K59" i="851"/>
  <c r="I59" i="851"/>
  <c r="G59" i="851"/>
  <c r="K37" i="851"/>
  <c r="E59" i="851"/>
  <c r="C59" i="851"/>
  <c r="A59" i="851"/>
  <c r="AE58" i="851"/>
  <c r="AC58" i="851"/>
  <c r="AA58" i="851"/>
  <c r="Y58" i="851"/>
  <c r="V58" i="851"/>
  <c r="U58" i="851"/>
  <c r="T58" i="851"/>
  <c r="S58" i="851"/>
  <c r="Q58" i="851"/>
  <c r="P58" i="851"/>
  <c r="O58" i="851"/>
  <c r="N58" i="851"/>
  <c r="K58" i="851"/>
  <c r="I58" i="851"/>
  <c r="G58" i="851"/>
  <c r="E58" i="851"/>
  <c r="C58" i="851"/>
  <c r="A58" i="851"/>
  <c r="AE57" i="851"/>
  <c r="AC57" i="851"/>
  <c r="AA57" i="851"/>
  <c r="Y57" i="851"/>
  <c r="V57" i="851"/>
  <c r="U57" i="851"/>
  <c r="T57" i="851"/>
  <c r="S57" i="851"/>
  <c r="Q57" i="851"/>
  <c r="P57" i="851"/>
  <c r="O57" i="851"/>
  <c r="N57" i="851"/>
  <c r="K57" i="851"/>
  <c r="I57" i="851"/>
  <c r="P22" i="851"/>
  <c r="G57" i="851"/>
  <c r="E57" i="851"/>
  <c r="C57" i="851"/>
  <c r="A57" i="851"/>
  <c r="AE56" i="851"/>
  <c r="AC56" i="851"/>
  <c r="AA56" i="851"/>
  <c r="Y56" i="851"/>
  <c r="V56" i="851"/>
  <c r="U56" i="851"/>
  <c r="T56" i="851"/>
  <c r="S56" i="851"/>
  <c r="Q56" i="851"/>
  <c r="P56" i="851"/>
  <c r="O56" i="851"/>
  <c r="N56" i="851"/>
  <c r="K56" i="851"/>
  <c r="I56" i="851"/>
  <c r="G56" i="851"/>
  <c r="E56" i="851"/>
  <c r="C56" i="851"/>
  <c r="A56" i="851"/>
  <c r="AE55" i="851"/>
  <c r="AC55" i="851"/>
  <c r="AA55" i="851"/>
  <c r="Y55" i="851"/>
  <c r="V55" i="851"/>
  <c r="U55" i="851"/>
  <c r="T55" i="851"/>
  <c r="S55" i="851"/>
  <c r="Q55" i="851"/>
  <c r="P55" i="851"/>
  <c r="O55" i="851"/>
  <c r="N55" i="851"/>
  <c r="K55" i="851"/>
  <c r="I55" i="851"/>
  <c r="G55" i="851"/>
  <c r="E55" i="851"/>
  <c r="C55" i="851"/>
  <c r="A55" i="851"/>
  <c r="AE54" i="851"/>
  <c r="AC54" i="851"/>
  <c r="AC66" i="851"/>
  <c r="AA54" i="851"/>
  <c r="AA66" i="851"/>
  <c r="Y54" i="851"/>
  <c r="V54" i="851"/>
  <c r="U54" i="851"/>
  <c r="U66" i="851"/>
  <c r="T54" i="851"/>
  <c r="T66" i="851"/>
  <c r="S54" i="851"/>
  <c r="Q54" i="851"/>
  <c r="P54" i="851"/>
  <c r="O54" i="851"/>
  <c r="N54" i="851"/>
  <c r="K54" i="851"/>
  <c r="I54" i="851"/>
  <c r="G54" i="851"/>
  <c r="E54" i="851"/>
  <c r="C54" i="851"/>
  <c r="A54" i="851"/>
  <c r="I24" i="851"/>
  <c r="G36" i="258"/>
  <c r="T27" i="851"/>
  <c r="AF36" i="258"/>
  <c r="S27" i="851"/>
  <c r="AE36" i="258"/>
  <c r="E36" i="257"/>
  <c r="A19" i="851"/>
  <c r="T20" i="851"/>
  <c r="Y16" i="851"/>
  <c r="X16" i="851"/>
  <c r="AG36" i="258"/>
  <c r="W16" i="851"/>
  <c r="V16" i="851"/>
  <c r="AA36" i="258"/>
  <c r="U16" i="851"/>
  <c r="S16" i="851"/>
  <c r="S20" i="851"/>
  <c r="X36" i="258"/>
  <c r="R16" i="851"/>
  <c r="Q16" i="851"/>
  <c r="P16" i="851"/>
  <c r="O16" i="851"/>
  <c r="N16" i="851"/>
  <c r="M16" i="851"/>
  <c r="L16" i="851"/>
  <c r="K16" i="851"/>
  <c r="J16" i="851"/>
  <c r="I16" i="851"/>
  <c r="H16" i="851"/>
  <c r="F16" i="851"/>
  <c r="E16" i="851"/>
  <c r="B36" i="258"/>
  <c r="C16" i="851"/>
  <c r="H94" i="850"/>
  <c r="F94" i="850"/>
  <c r="D94" i="850"/>
  <c r="B94" i="850"/>
  <c r="K79" i="850"/>
  <c r="I79" i="850"/>
  <c r="E79" i="850"/>
  <c r="C79" i="850"/>
  <c r="A79" i="850"/>
  <c r="K78" i="850"/>
  <c r="I78" i="850"/>
  <c r="E78" i="850"/>
  <c r="C78" i="850"/>
  <c r="A78" i="850"/>
  <c r="K77" i="850"/>
  <c r="I77" i="850"/>
  <c r="E77" i="850"/>
  <c r="C77" i="850"/>
  <c r="A77" i="850"/>
  <c r="K76" i="850"/>
  <c r="I76" i="850"/>
  <c r="E76" i="850"/>
  <c r="C76" i="850"/>
  <c r="A76" i="850"/>
  <c r="K75" i="850"/>
  <c r="I75" i="850"/>
  <c r="E75" i="850"/>
  <c r="C75" i="850"/>
  <c r="A75" i="850"/>
  <c r="K74" i="850"/>
  <c r="I74" i="850"/>
  <c r="E74" i="850"/>
  <c r="C74" i="850"/>
  <c r="A74" i="850"/>
  <c r="K73" i="850"/>
  <c r="I73" i="850"/>
  <c r="E73" i="850"/>
  <c r="C73" i="850"/>
  <c r="A73" i="850"/>
  <c r="K72" i="850"/>
  <c r="I72" i="850"/>
  <c r="E72" i="850"/>
  <c r="C72" i="850"/>
  <c r="A72" i="850"/>
  <c r="K71" i="850"/>
  <c r="I71" i="850"/>
  <c r="E71" i="850"/>
  <c r="C71" i="850"/>
  <c r="A71" i="850"/>
  <c r="K70" i="850"/>
  <c r="I70" i="850"/>
  <c r="E70" i="850"/>
  <c r="C70" i="850"/>
  <c r="A70" i="850"/>
  <c r="K69" i="850"/>
  <c r="I69" i="850"/>
  <c r="E69" i="850"/>
  <c r="C69" i="850"/>
  <c r="A69" i="850"/>
  <c r="K68" i="850"/>
  <c r="I68" i="850"/>
  <c r="E68" i="850"/>
  <c r="C68" i="850"/>
  <c r="A68" i="850"/>
  <c r="AE65" i="850"/>
  <c r="AC65" i="850"/>
  <c r="AA65" i="850"/>
  <c r="Y65" i="850"/>
  <c r="V65" i="850"/>
  <c r="U65" i="850"/>
  <c r="T65" i="850"/>
  <c r="S65" i="850"/>
  <c r="Q65" i="850"/>
  <c r="P65" i="850"/>
  <c r="O65" i="850"/>
  <c r="N65" i="850"/>
  <c r="K65" i="850"/>
  <c r="I65" i="850"/>
  <c r="G65" i="850"/>
  <c r="E65" i="850"/>
  <c r="C65" i="850"/>
  <c r="A65" i="850"/>
  <c r="AE64" i="850"/>
  <c r="AC64" i="850"/>
  <c r="AA64" i="850"/>
  <c r="Y64" i="850"/>
  <c r="V64" i="850"/>
  <c r="U64" i="850"/>
  <c r="T64" i="850"/>
  <c r="S64" i="850"/>
  <c r="Q64" i="850"/>
  <c r="P64" i="850"/>
  <c r="O64" i="850"/>
  <c r="N64" i="850"/>
  <c r="K64" i="850"/>
  <c r="I64" i="850"/>
  <c r="G64" i="850"/>
  <c r="E64" i="850"/>
  <c r="C64" i="850"/>
  <c r="A64" i="850"/>
  <c r="AE63" i="850"/>
  <c r="AC63" i="850"/>
  <c r="AA63" i="850"/>
  <c r="Y63" i="850"/>
  <c r="V63" i="850"/>
  <c r="U63" i="850"/>
  <c r="T63" i="850"/>
  <c r="S63" i="850"/>
  <c r="Q63" i="850"/>
  <c r="P63" i="850"/>
  <c r="O63" i="850"/>
  <c r="N63" i="850"/>
  <c r="K63" i="850"/>
  <c r="I63" i="850"/>
  <c r="G63" i="850"/>
  <c r="E63" i="850"/>
  <c r="C63" i="850"/>
  <c r="A63" i="850"/>
  <c r="K24" i="850"/>
  <c r="I37" i="258"/>
  <c r="AE62" i="850"/>
  <c r="AC62" i="850"/>
  <c r="AA62" i="850"/>
  <c r="Y62" i="850"/>
  <c r="V62" i="850"/>
  <c r="U62" i="850"/>
  <c r="T62" i="850"/>
  <c r="S62" i="850"/>
  <c r="Q62" i="850"/>
  <c r="P62" i="850"/>
  <c r="O62" i="850"/>
  <c r="N62" i="850"/>
  <c r="K62" i="850"/>
  <c r="I62" i="850"/>
  <c r="G62" i="850"/>
  <c r="E62" i="850"/>
  <c r="C62" i="850"/>
  <c r="A62" i="850"/>
  <c r="AE61" i="850"/>
  <c r="AC61" i="850"/>
  <c r="AA61" i="850"/>
  <c r="Y61" i="850"/>
  <c r="V61" i="850"/>
  <c r="U61" i="850"/>
  <c r="T61" i="850"/>
  <c r="S61" i="850"/>
  <c r="Q61" i="850"/>
  <c r="P61" i="850"/>
  <c r="O61" i="850"/>
  <c r="N61" i="850"/>
  <c r="K61" i="850"/>
  <c r="I61" i="850"/>
  <c r="G61" i="850"/>
  <c r="E61" i="850"/>
  <c r="C61" i="850"/>
  <c r="A61" i="850"/>
  <c r="AE60" i="850"/>
  <c r="AC60" i="850"/>
  <c r="AA60" i="850"/>
  <c r="Y60" i="850"/>
  <c r="V60" i="850"/>
  <c r="U60" i="850"/>
  <c r="T60" i="850"/>
  <c r="S60" i="850"/>
  <c r="Q60" i="850"/>
  <c r="P60" i="850"/>
  <c r="O60" i="850"/>
  <c r="N60" i="850"/>
  <c r="K60" i="850"/>
  <c r="I60" i="850"/>
  <c r="G60" i="850"/>
  <c r="E60" i="850"/>
  <c r="C60" i="850"/>
  <c r="A60" i="850"/>
  <c r="AE59" i="850"/>
  <c r="AC59" i="850"/>
  <c r="AA59" i="850"/>
  <c r="Y59" i="850"/>
  <c r="V59" i="850"/>
  <c r="U59" i="850"/>
  <c r="T59" i="850"/>
  <c r="S59" i="850"/>
  <c r="Q59" i="850"/>
  <c r="P59" i="850"/>
  <c r="O59" i="850"/>
  <c r="N59" i="850"/>
  <c r="K59" i="850"/>
  <c r="I59" i="850"/>
  <c r="G59" i="850"/>
  <c r="E59" i="850"/>
  <c r="C59" i="850"/>
  <c r="A59" i="850"/>
  <c r="AE58" i="850"/>
  <c r="AC58" i="850"/>
  <c r="AA58" i="850"/>
  <c r="Y58" i="850"/>
  <c r="V58" i="850"/>
  <c r="U58" i="850"/>
  <c r="T58" i="850"/>
  <c r="S58" i="850"/>
  <c r="Q58" i="850"/>
  <c r="P58" i="850"/>
  <c r="O58" i="850"/>
  <c r="N58" i="850"/>
  <c r="K58" i="850"/>
  <c r="I58" i="850"/>
  <c r="G58" i="850"/>
  <c r="E58" i="850"/>
  <c r="C58" i="850"/>
  <c r="A58" i="850"/>
  <c r="AE57" i="850"/>
  <c r="AC57" i="850"/>
  <c r="AA57" i="850"/>
  <c r="Y57" i="850"/>
  <c r="V57" i="850"/>
  <c r="U57" i="850"/>
  <c r="T57" i="850"/>
  <c r="S57" i="850"/>
  <c r="Q57" i="850"/>
  <c r="P57" i="850"/>
  <c r="O57" i="850"/>
  <c r="N57" i="850"/>
  <c r="K57" i="850"/>
  <c r="I57" i="850"/>
  <c r="G57" i="850"/>
  <c r="E57" i="850"/>
  <c r="C57" i="850"/>
  <c r="A57" i="850"/>
  <c r="AE56" i="850"/>
  <c r="AC56" i="850"/>
  <c r="AA56" i="850"/>
  <c r="Y56" i="850"/>
  <c r="V56" i="850"/>
  <c r="U56" i="850"/>
  <c r="T56" i="850"/>
  <c r="S56" i="850"/>
  <c r="Q56" i="850"/>
  <c r="P56" i="850"/>
  <c r="O56" i="850"/>
  <c r="N56" i="850"/>
  <c r="K56" i="850"/>
  <c r="I56" i="850"/>
  <c r="G56" i="850"/>
  <c r="E56" i="850"/>
  <c r="I34" i="850"/>
  <c r="P37" i="258"/>
  <c r="C56" i="850"/>
  <c r="A56" i="850"/>
  <c r="AE55" i="850"/>
  <c r="AC55" i="850"/>
  <c r="AA55" i="850"/>
  <c r="Y55" i="850"/>
  <c r="V55" i="850"/>
  <c r="U55" i="850"/>
  <c r="T55" i="850"/>
  <c r="S55" i="850"/>
  <c r="Q55" i="850"/>
  <c r="P55" i="850"/>
  <c r="O55" i="850"/>
  <c r="N55" i="850"/>
  <c r="K55" i="850"/>
  <c r="I55" i="850"/>
  <c r="G55" i="850"/>
  <c r="E55" i="850"/>
  <c r="C55" i="850"/>
  <c r="J29" i="850"/>
  <c r="M37" i="258"/>
  <c r="A55" i="850"/>
  <c r="AE54" i="850"/>
  <c r="AC54" i="850"/>
  <c r="AA54" i="850"/>
  <c r="AA66" i="850"/>
  <c r="Y54" i="850"/>
  <c r="Y66" i="850"/>
  <c r="V54" i="850"/>
  <c r="U54" i="850"/>
  <c r="T54" i="850"/>
  <c r="S54" i="850"/>
  <c r="S66" i="850"/>
  <c r="Q54" i="850"/>
  <c r="P54" i="850"/>
  <c r="O54" i="850"/>
  <c r="N54" i="850"/>
  <c r="K54" i="850"/>
  <c r="I54" i="850"/>
  <c r="G54" i="850"/>
  <c r="E54" i="850"/>
  <c r="C54" i="850"/>
  <c r="A54" i="850"/>
  <c r="T27" i="850"/>
  <c r="AF37" i="258"/>
  <c r="S27" i="850"/>
  <c r="AE37" i="258"/>
  <c r="N25" i="850"/>
  <c r="A19" i="850"/>
  <c r="T20" i="850"/>
  <c r="Y16" i="850"/>
  <c r="X16" i="850"/>
  <c r="AG37" i="258"/>
  <c r="W16" i="850"/>
  <c r="V16" i="850"/>
  <c r="U16" i="850"/>
  <c r="S16" i="850"/>
  <c r="S20" i="850"/>
  <c r="X37" i="258"/>
  <c r="R16" i="850"/>
  <c r="Q16" i="850"/>
  <c r="P16" i="850"/>
  <c r="O16" i="850"/>
  <c r="N16" i="850"/>
  <c r="M16" i="850"/>
  <c r="L16" i="850"/>
  <c r="K16" i="850"/>
  <c r="J16" i="850"/>
  <c r="I16" i="850"/>
  <c r="H16" i="850"/>
  <c r="F16" i="850"/>
  <c r="E16" i="850"/>
  <c r="C16" i="850"/>
  <c r="H94" i="849"/>
  <c r="F94" i="849"/>
  <c r="D94" i="849"/>
  <c r="B94" i="849"/>
  <c r="K79" i="849"/>
  <c r="I79" i="849"/>
  <c r="E79" i="849"/>
  <c r="C79" i="849"/>
  <c r="A79" i="849"/>
  <c r="K78" i="849"/>
  <c r="I78" i="849"/>
  <c r="E78" i="849"/>
  <c r="C78" i="849"/>
  <c r="A78" i="849"/>
  <c r="K77" i="849"/>
  <c r="I77" i="849"/>
  <c r="E77" i="849"/>
  <c r="C77" i="849"/>
  <c r="A77" i="849"/>
  <c r="K76" i="849"/>
  <c r="I76" i="849"/>
  <c r="E76" i="849"/>
  <c r="C76" i="849"/>
  <c r="A76" i="849"/>
  <c r="K75" i="849"/>
  <c r="I75" i="849"/>
  <c r="E75" i="849"/>
  <c r="C75" i="849"/>
  <c r="A75" i="849"/>
  <c r="K74" i="849"/>
  <c r="I74" i="849"/>
  <c r="E74" i="849"/>
  <c r="C74" i="849"/>
  <c r="A74" i="849"/>
  <c r="K73" i="849"/>
  <c r="I73" i="849"/>
  <c r="E73" i="849"/>
  <c r="C73" i="849"/>
  <c r="A73" i="849"/>
  <c r="K72" i="849"/>
  <c r="I72" i="849"/>
  <c r="E72" i="849"/>
  <c r="C72" i="849"/>
  <c r="A72" i="849"/>
  <c r="K71" i="849"/>
  <c r="I71" i="849"/>
  <c r="E71" i="849"/>
  <c r="C71" i="849"/>
  <c r="A71" i="849"/>
  <c r="K70" i="849"/>
  <c r="I70" i="849"/>
  <c r="E70" i="849"/>
  <c r="C70" i="849"/>
  <c r="A70" i="849"/>
  <c r="K69" i="849"/>
  <c r="I69" i="849"/>
  <c r="E69" i="849"/>
  <c r="C69" i="849"/>
  <c r="A69" i="849"/>
  <c r="K68" i="849"/>
  <c r="I68" i="849"/>
  <c r="E68" i="849"/>
  <c r="C68" i="849"/>
  <c r="A68" i="849"/>
  <c r="AE65" i="849"/>
  <c r="AC65" i="849"/>
  <c r="AA65" i="849"/>
  <c r="Y65" i="849"/>
  <c r="V65" i="849"/>
  <c r="U65" i="849"/>
  <c r="T65" i="849"/>
  <c r="S65" i="849"/>
  <c r="Q65" i="849"/>
  <c r="P65" i="849"/>
  <c r="O65" i="849"/>
  <c r="N65" i="849"/>
  <c r="K65" i="849"/>
  <c r="I65" i="849"/>
  <c r="G65" i="849"/>
  <c r="E65" i="849"/>
  <c r="I34" i="849"/>
  <c r="P38" i="258"/>
  <c r="C65" i="849"/>
  <c r="A65" i="849"/>
  <c r="AE64" i="849"/>
  <c r="AC64" i="849"/>
  <c r="AA64" i="849"/>
  <c r="Y64" i="849"/>
  <c r="V64" i="849"/>
  <c r="U64" i="849"/>
  <c r="T64" i="849"/>
  <c r="S64" i="849"/>
  <c r="Q64" i="849"/>
  <c r="P64" i="849"/>
  <c r="O64" i="849"/>
  <c r="N64" i="849"/>
  <c r="K64" i="849"/>
  <c r="I64" i="849"/>
  <c r="G64" i="849"/>
  <c r="E64" i="849"/>
  <c r="C64" i="849"/>
  <c r="A64" i="849"/>
  <c r="AE63" i="849"/>
  <c r="AC63" i="849"/>
  <c r="AA63" i="849"/>
  <c r="Y63" i="849"/>
  <c r="V63" i="849"/>
  <c r="U63" i="849"/>
  <c r="T63" i="849"/>
  <c r="S63" i="849"/>
  <c r="Q63" i="849"/>
  <c r="P63" i="849"/>
  <c r="O63" i="849"/>
  <c r="N63" i="849"/>
  <c r="K63" i="849"/>
  <c r="I63" i="849"/>
  <c r="G63" i="849"/>
  <c r="E63" i="849"/>
  <c r="C63" i="849"/>
  <c r="A63" i="849"/>
  <c r="AE62" i="849"/>
  <c r="AC62" i="849"/>
  <c r="AA62" i="849"/>
  <c r="Y62" i="849"/>
  <c r="V62" i="849"/>
  <c r="U62" i="849"/>
  <c r="T62" i="849"/>
  <c r="S62" i="849"/>
  <c r="Q62" i="849"/>
  <c r="P62" i="849"/>
  <c r="O62" i="849"/>
  <c r="N62" i="849"/>
  <c r="K62" i="849"/>
  <c r="I62" i="849"/>
  <c r="G62" i="849"/>
  <c r="E62" i="849"/>
  <c r="C62" i="849"/>
  <c r="A62" i="849"/>
  <c r="AE61" i="849"/>
  <c r="AC61" i="849"/>
  <c r="AA61" i="849"/>
  <c r="Y61" i="849"/>
  <c r="V61" i="849"/>
  <c r="U61" i="849"/>
  <c r="T61" i="849"/>
  <c r="S61" i="849"/>
  <c r="Q61" i="849"/>
  <c r="P61" i="849"/>
  <c r="O61" i="849"/>
  <c r="N61" i="849"/>
  <c r="K61" i="849"/>
  <c r="I61" i="849"/>
  <c r="G61" i="849"/>
  <c r="E61" i="849"/>
  <c r="C61" i="849"/>
  <c r="A61" i="849"/>
  <c r="AE60" i="849"/>
  <c r="AC60" i="849"/>
  <c r="AA60" i="849"/>
  <c r="Y60" i="849"/>
  <c r="V60" i="849"/>
  <c r="U60" i="849"/>
  <c r="T60" i="849"/>
  <c r="S60" i="849"/>
  <c r="Q60" i="849"/>
  <c r="P60" i="849"/>
  <c r="O60" i="849"/>
  <c r="N60" i="849"/>
  <c r="K60" i="849"/>
  <c r="I60" i="849"/>
  <c r="G60" i="849"/>
  <c r="E60" i="849"/>
  <c r="C60" i="849"/>
  <c r="A60" i="849"/>
  <c r="AE59" i="849"/>
  <c r="AC59" i="849"/>
  <c r="AA59" i="849"/>
  <c r="Y59" i="849"/>
  <c r="V59" i="849"/>
  <c r="U59" i="849"/>
  <c r="T59" i="849"/>
  <c r="S59" i="849"/>
  <c r="Q59" i="849"/>
  <c r="P59" i="849"/>
  <c r="O59" i="849"/>
  <c r="N59" i="849"/>
  <c r="K59" i="849"/>
  <c r="I59" i="849"/>
  <c r="G59" i="849"/>
  <c r="E59" i="849"/>
  <c r="C59" i="849"/>
  <c r="A59" i="849"/>
  <c r="AE58" i="849"/>
  <c r="AC58" i="849"/>
  <c r="AA58" i="849"/>
  <c r="Y58" i="849"/>
  <c r="V58" i="849"/>
  <c r="U58" i="849"/>
  <c r="T58" i="849"/>
  <c r="S58" i="849"/>
  <c r="Q58" i="849"/>
  <c r="P58" i="849"/>
  <c r="O58" i="849"/>
  <c r="N58" i="849"/>
  <c r="K58" i="849"/>
  <c r="I58" i="849"/>
  <c r="G58" i="849"/>
  <c r="E58" i="849"/>
  <c r="C58" i="849"/>
  <c r="A58" i="849"/>
  <c r="AE57" i="849"/>
  <c r="AC57" i="849"/>
  <c r="AA57" i="849"/>
  <c r="Y57" i="849"/>
  <c r="V57" i="849"/>
  <c r="U57" i="849"/>
  <c r="T57" i="849"/>
  <c r="S57" i="849"/>
  <c r="Q57" i="849"/>
  <c r="P57" i="849"/>
  <c r="O57" i="849"/>
  <c r="N57" i="849"/>
  <c r="K57" i="849"/>
  <c r="I57" i="849"/>
  <c r="G57" i="849"/>
  <c r="E57" i="849"/>
  <c r="C57" i="849"/>
  <c r="A57" i="849"/>
  <c r="AE56" i="849"/>
  <c r="AC56" i="849"/>
  <c r="AA56" i="849"/>
  <c r="Y56" i="849"/>
  <c r="V56" i="849"/>
  <c r="U56" i="849"/>
  <c r="T56" i="849"/>
  <c r="S56" i="849"/>
  <c r="Q56" i="849"/>
  <c r="P56" i="849"/>
  <c r="O56" i="849"/>
  <c r="N56" i="849"/>
  <c r="K56" i="849"/>
  <c r="I56" i="849"/>
  <c r="G56" i="849"/>
  <c r="E56" i="849"/>
  <c r="C56" i="849"/>
  <c r="A56" i="849"/>
  <c r="AE55" i="849"/>
  <c r="AC55" i="849"/>
  <c r="AA55" i="849"/>
  <c r="Y55" i="849"/>
  <c r="V55" i="849"/>
  <c r="U55" i="849"/>
  <c r="T55" i="849"/>
  <c r="S55" i="849"/>
  <c r="Q55" i="849"/>
  <c r="P55" i="849"/>
  <c r="O55" i="849"/>
  <c r="N55" i="849"/>
  <c r="K55" i="849"/>
  <c r="I55" i="849"/>
  <c r="G55" i="849"/>
  <c r="E55" i="849"/>
  <c r="J34" i="849"/>
  <c r="Q38" i="258"/>
  <c r="C55" i="849"/>
  <c r="A55" i="849"/>
  <c r="AE54" i="849"/>
  <c r="AC54" i="849"/>
  <c r="AA54" i="849"/>
  <c r="AA66" i="849"/>
  <c r="Y54" i="849"/>
  <c r="V54" i="849"/>
  <c r="U54" i="849"/>
  <c r="U66" i="849"/>
  <c r="T54" i="849"/>
  <c r="S54" i="849"/>
  <c r="Q54" i="849"/>
  <c r="P54" i="849"/>
  <c r="P66" i="849"/>
  <c r="O54" i="849"/>
  <c r="N54" i="849"/>
  <c r="K54" i="849"/>
  <c r="I54" i="849"/>
  <c r="N22" i="849"/>
  <c r="G54" i="849"/>
  <c r="E54" i="849"/>
  <c r="C54" i="849"/>
  <c r="A54" i="849"/>
  <c r="I24" i="849"/>
  <c r="G38" i="258"/>
  <c r="K37" i="849"/>
  <c r="T27" i="849"/>
  <c r="AF38" i="258"/>
  <c r="S27" i="849"/>
  <c r="AE38" i="258"/>
  <c r="O22" i="849"/>
  <c r="E38" i="257"/>
  <c r="A19" i="849"/>
  <c r="T20" i="849"/>
  <c r="Y16" i="849"/>
  <c r="X16" i="849"/>
  <c r="AG38" i="258"/>
  <c r="W16" i="849"/>
  <c r="V16" i="849"/>
  <c r="AA38" i="258"/>
  <c r="U16" i="849"/>
  <c r="S16" i="849"/>
  <c r="S20" i="849"/>
  <c r="X38" i="258"/>
  <c r="R16" i="849"/>
  <c r="Q16" i="849"/>
  <c r="P16" i="849"/>
  <c r="O16" i="849"/>
  <c r="N16" i="849"/>
  <c r="M16" i="849"/>
  <c r="L16" i="849"/>
  <c r="K16" i="849"/>
  <c r="J16" i="849"/>
  <c r="I16" i="849"/>
  <c r="H16" i="849"/>
  <c r="F16" i="849"/>
  <c r="E16" i="849"/>
  <c r="B38" i="258"/>
  <c r="C16" i="849"/>
  <c r="H94" i="848"/>
  <c r="F94" i="848"/>
  <c r="D94" i="848"/>
  <c r="B94" i="848"/>
  <c r="K79" i="848"/>
  <c r="I79" i="848"/>
  <c r="E79" i="848"/>
  <c r="C79" i="848"/>
  <c r="A79" i="848"/>
  <c r="K78" i="848"/>
  <c r="I78" i="848"/>
  <c r="E78" i="848"/>
  <c r="C78" i="848"/>
  <c r="A78" i="848"/>
  <c r="K77" i="848"/>
  <c r="I77" i="848"/>
  <c r="E77" i="848"/>
  <c r="C77" i="848"/>
  <c r="A77" i="848"/>
  <c r="K76" i="848"/>
  <c r="I76" i="848"/>
  <c r="E76" i="848"/>
  <c r="C76" i="848"/>
  <c r="A76" i="848"/>
  <c r="K75" i="848"/>
  <c r="I75" i="848"/>
  <c r="E75" i="848"/>
  <c r="C75" i="848"/>
  <c r="A75" i="848"/>
  <c r="K74" i="848"/>
  <c r="I74" i="848"/>
  <c r="E74" i="848"/>
  <c r="C74" i="848"/>
  <c r="A74" i="848"/>
  <c r="K73" i="848"/>
  <c r="I73" i="848"/>
  <c r="E73" i="848"/>
  <c r="C73" i="848"/>
  <c r="A73" i="848"/>
  <c r="K72" i="848"/>
  <c r="I72" i="848"/>
  <c r="E72" i="848"/>
  <c r="C72" i="848"/>
  <c r="A72" i="848"/>
  <c r="K71" i="848"/>
  <c r="I71" i="848"/>
  <c r="E71" i="848"/>
  <c r="C71" i="848"/>
  <c r="A71" i="848"/>
  <c r="K70" i="848"/>
  <c r="I70" i="848"/>
  <c r="E70" i="848"/>
  <c r="C70" i="848"/>
  <c r="A70" i="848"/>
  <c r="K69" i="848"/>
  <c r="I69" i="848"/>
  <c r="E69" i="848"/>
  <c r="C69" i="848"/>
  <c r="A69" i="848"/>
  <c r="K68" i="848"/>
  <c r="I68" i="848"/>
  <c r="E68" i="848"/>
  <c r="C68" i="848"/>
  <c r="A68" i="848"/>
  <c r="AE65" i="848"/>
  <c r="AC65" i="848"/>
  <c r="AA65" i="848"/>
  <c r="Y65" i="848"/>
  <c r="V65" i="848"/>
  <c r="U65" i="848"/>
  <c r="T65" i="848"/>
  <c r="S65" i="848"/>
  <c r="Q65" i="848"/>
  <c r="P65" i="848"/>
  <c r="O65" i="848"/>
  <c r="N65" i="848"/>
  <c r="K65" i="848"/>
  <c r="I65" i="848"/>
  <c r="G65" i="848"/>
  <c r="K37" i="848"/>
  <c r="E65" i="848"/>
  <c r="C65" i="848"/>
  <c r="A65" i="848"/>
  <c r="AE64" i="848"/>
  <c r="AC64" i="848"/>
  <c r="AA64" i="848"/>
  <c r="Y64" i="848"/>
  <c r="V64" i="848"/>
  <c r="U64" i="848"/>
  <c r="T64" i="848"/>
  <c r="S64" i="848"/>
  <c r="Q64" i="848"/>
  <c r="P64" i="848"/>
  <c r="O64" i="848"/>
  <c r="N64" i="848"/>
  <c r="K64" i="848"/>
  <c r="I64" i="848"/>
  <c r="G64" i="848"/>
  <c r="E64" i="848"/>
  <c r="C64" i="848"/>
  <c r="A64" i="848"/>
  <c r="AE63" i="848"/>
  <c r="AC63" i="848"/>
  <c r="AA63" i="848"/>
  <c r="Y63" i="848"/>
  <c r="V63" i="848"/>
  <c r="U63" i="848"/>
  <c r="T63" i="848"/>
  <c r="S63" i="848"/>
  <c r="Q63" i="848"/>
  <c r="P63" i="848"/>
  <c r="O63" i="848"/>
  <c r="N63" i="848"/>
  <c r="K63" i="848"/>
  <c r="I63" i="848"/>
  <c r="G63" i="848"/>
  <c r="E63" i="848"/>
  <c r="C63" i="848"/>
  <c r="A63" i="848"/>
  <c r="AE62" i="848"/>
  <c r="AC62" i="848"/>
  <c r="AA62" i="848"/>
  <c r="Y62" i="848"/>
  <c r="V62" i="848"/>
  <c r="U62" i="848"/>
  <c r="T62" i="848"/>
  <c r="S62" i="848"/>
  <c r="Q62" i="848"/>
  <c r="P62" i="848"/>
  <c r="O62" i="848"/>
  <c r="N62" i="848"/>
  <c r="K62" i="848"/>
  <c r="I62" i="848"/>
  <c r="G62" i="848"/>
  <c r="E62" i="848"/>
  <c r="C62" i="848"/>
  <c r="A62" i="848"/>
  <c r="AE61" i="848"/>
  <c r="AC61" i="848"/>
  <c r="AA61" i="848"/>
  <c r="Y61" i="848"/>
  <c r="V61" i="848"/>
  <c r="U61" i="848"/>
  <c r="T61" i="848"/>
  <c r="S61" i="848"/>
  <c r="Q61" i="848"/>
  <c r="P61" i="848"/>
  <c r="O61" i="848"/>
  <c r="N61" i="848"/>
  <c r="K61" i="848"/>
  <c r="I61" i="848"/>
  <c r="G61" i="848"/>
  <c r="E61" i="848"/>
  <c r="C61" i="848"/>
  <c r="A61" i="848"/>
  <c r="AE60" i="848"/>
  <c r="AC60" i="848"/>
  <c r="AA60" i="848"/>
  <c r="Y60" i="848"/>
  <c r="V60" i="848"/>
  <c r="U60" i="848"/>
  <c r="T60" i="848"/>
  <c r="S60" i="848"/>
  <c r="Q60" i="848"/>
  <c r="P60" i="848"/>
  <c r="O60" i="848"/>
  <c r="N60" i="848"/>
  <c r="K60" i="848"/>
  <c r="I60" i="848"/>
  <c r="G60" i="848"/>
  <c r="E60" i="848"/>
  <c r="C60" i="848"/>
  <c r="A60" i="848"/>
  <c r="AE59" i="848"/>
  <c r="AC59" i="848"/>
  <c r="AA59" i="848"/>
  <c r="Y59" i="848"/>
  <c r="V59" i="848"/>
  <c r="U59" i="848"/>
  <c r="T59" i="848"/>
  <c r="S59" i="848"/>
  <c r="Q59" i="848"/>
  <c r="P59" i="848"/>
  <c r="O59" i="848"/>
  <c r="N59" i="848"/>
  <c r="K59" i="848"/>
  <c r="I59" i="848"/>
  <c r="G59" i="848"/>
  <c r="E59" i="848"/>
  <c r="C59" i="848"/>
  <c r="A59" i="848"/>
  <c r="AE58" i="848"/>
  <c r="AC58" i="848"/>
  <c r="AA58" i="848"/>
  <c r="Y58" i="848"/>
  <c r="V58" i="848"/>
  <c r="U58" i="848"/>
  <c r="T58" i="848"/>
  <c r="S58" i="848"/>
  <c r="Q58" i="848"/>
  <c r="P58" i="848"/>
  <c r="O58" i="848"/>
  <c r="N58" i="848"/>
  <c r="K58" i="848"/>
  <c r="I58" i="848"/>
  <c r="G58" i="848"/>
  <c r="E58" i="848"/>
  <c r="C58" i="848"/>
  <c r="A58" i="848"/>
  <c r="AE57" i="848"/>
  <c r="AC57" i="848"/>
  <c r="AA57" i="848"/>
  <c r="Y57" i="848"/>
  <c r="V57" i="848"/>
  <c r="U57" i="848"/>
  <c r="T57" i="848"/>
  <c r="S57" i="848"/>
  <c r="Q57" i="848"/>
  <c r="P57" i="848"/>
  <c r="O57" i="848"/>
  <c r="N57" i="848"/>
  <c r="K57" i="848"/>
  <c r="I57" i="848"/>
  <c r="N22" i="848"/>
  <c r="G57" i="848"/>
  <c r="E57" i="848"/>
  <c r="C57" i="848"/>
  <c r="A57" i="848"/>
  <c r="AE56" i="848"/>
  <c r="AC56" i="848"/>
  <c r="AA56" i="848"/>
  <c r="Y56" i="848"/>
  <c r="V56" i="848"/>
  <c r="U56" i="848"/>
  <c r="T56" i="848"/>
  <c r="S56" i="848"/>
  <c r="Q56" i="848"/>
  <c r="P56" i="848"/>
  <c r="O56" i="848"/>
  <c r="N56" i="848"/>
  <c r="K56" i="848"/>
  <c r="I56" i="848"/>
  <c r="G56" i="848"/>
  <c r="E56" i="848"/>
  <c r="C56" i="848"/>
  <c r="A56" i="848"/>
  <c r="AE55" i="848"/>
  <c r="AC55" i="848"/>
  <c r="AA55" i="848"/>
  <c r="Y55" i="848"/>
  <c r="V55" i="848"/>
  <c r="U55" i="848"/>
  <c r="T55" i="848"/>
  <c r="S55" i="848"/>
  <c r="Q55" i="848"/>
  <c r="P55" i="848"/>
  <c r="O55" i="848"/>
  <c r="N55" i="848"/>
  <c r="K55" i="848"/>
  <c r="I55" i="848"/>
  <c r="G55" i="848"/>
  <c r="E55" i="848"/>
  <c r="C55" i="848"/>
  <c r="A55" i="848"/>
  <c r="AE54" i="848"/>
  <c r="AC54" i="848"/>
  <c r="AC66" i="848"/>
  <c r="AA54" i="848"/>
  <c r="Y54" i="848"/>
  <c r="V54" i="848"/>
  <c r="U54" i="848"/>
  <c r="T54" i="848"/>
  <c r="S54" i="848"/>
  <c r="Q54" i="848"/>
  <c r="P54" i="848"/>
  <c r="O54" i="848"/>
  <c r="N54" i="848"/>
  <c r="N66" i="848"/>
  <c r="K54" i="848"/>
  <c r="I54" i="848"/>
  <c r="G54" i="848"/>
  <c r="E54" i="848"/>
  <c r="C54" i="848"/>
  <c r="A54" i="848"/>
  <c r="K34" i="848"/>
  <c r="R39" i="258"/>
  <c r="T27" i="848"/>
  <c r="AF39" i="258"/>
  <c r="S27" i="848"/>
  <c r="AE39" i="258"/>
  <c r="A19" i="848"/>
  <c r="T20" i="848"/>
  <c r="Y16" i="848"/>
  <c r="X16" i="848"/>
  <c r="AG39" i="258"/>
  <c r="W16" i="848"/>
  <c r="V16" i="848"/>
  <c r="AA39" i="258"/>
  <c r="U16" i="848"/>
  <c r="S16" i="848"/>
  <c r="S20" i="848"/>
  <c r="X39" i="258"/>
  <c r="R16" i="848"/>
  <c r="Q16" i="848"/>
  <c r="P16" i="848"/>
  <c r="O16" i="848"/>
  <c r="N16" i="848"/>
  <c r="M16" i="848"/>
  <c r="L16" i="848"/>
  <c r="K16" i="848"/>
  <c r="J16" i="848"/>
  <c r="I16" i="848"/>
  <c r="F26" i="848"/>
  <c r="F39" i="257"/>
  <c r="H16" i="848"/>
  <c r="F16" i="848"/>
  <c r="E16" i="848"/>
  <c r="C16" i="848"/>
  <c r="H94" i="847"/>
  <c r="F94" i="847"/>
  <c r="D94" i="847"/>
  <c r="B94" i="847"/>
  <c r="K79" i="847"/>
  <c r="I79" i="847"/>
  <c r="E79" i="847"/>
  <c r="C79" i="847"/>
  <c r="A79" i="847"/>
  <c r="K78" i="847"/>
  <c r="I78" i="847"/>
  <c r="E78" i="847"/>
  <c r="C78" i="847"/>
  <c r="A78" i="847"/>
  <c r="K77" i="847"/>
  <c r="I77" i="847"/>
  <c r="E77" i="847"/>
  <c r="C77" i="847"/>
  <c r="A77" i="847"/>
  <c r="K76" i="847"/>
  <c r="I76" i="847"/>
  <c r="E76" i="847"/>
  <c r="C76" i="847"/>
  <c r="A76" i="847"/>
  <c r="K75" i="847"/>
  <c r="I75" i="847"/>
  <c r="E75" i="847"/>
  <c r="C75" i="847"/>
  <c r="A75" i="847"/>
  <c r="K74" i="847"/>
  <c r="I74" i="847"/>
  <c r="E74" i="847"/>
  <c r="C74" i="847"/>
  <c r="A74" i="847"/>
  <c r="K73" i="847"/>
  <c r="I73" i="847"/>
  <c r="E73" i="847"/>
  <c r="C73" i="847"/>
  <c r="A73" i="847"/>
  <c r="K72" i="847"/>
  <c r="I72" i="847"/>
  <c r="E72" i="847"/>
  <c r="C72" i="847"/>
  <c r="A72" i="847"/>
  <c r="K71" i="847"/>
  <c r="I71" i="847"/>
  <c r="E71" i="847"/>
  <c r="C71" i="847"/>
  <c r="A71" i="847"/>
  <c r="K70" i="847"/>
  <c r="I70" i="847"/>
  <c r="E70" i="847"/>
  <c r="C70" i="847"/>
  <c r="A70" i="847"/>
  <c r="K69" i="847"/>
  <c r="I69" i="847"/>
  <c r="E69" i="847"/>
  <c r="C69" i="847"/>
  <c r="A69" i="847"/>
  <c r="K68" i="847"/>
  <c r="I68" i="847"/>
  <c r="E68" i="847"/>
  <c r="C68" i="847"/>
  <c r="A68" i="847"/>
  <c r="AE65" i="847"/>
  <c r="AC65" i="847"/>
  <c r="AA65" i="847"/>
  <c r="Y65" i="847"/>
  <c r="V65" i="847"/>
  <c r="U65" i="847"/>
  <c r="T65" i="847"/>
  <c r="S65" i="847"/>
  <c r="Q65" i="847"/>
  <c r="P65" i="847"/>
  <c r="O65" i="847"/>
  <c r="N65" i="847"/>
  <c r="K65" i="847"/>
  <c r="I65" i="847"/>
  <c r="G65" i="847"/>
  <c r="E65" i="847"/>
  <c r="C65" i="847"/>
  <c r="A65" i="847"/>
  <c r="AE64" i="847"/>
  <c r="AC64" i="847"/>
  <c r="AA64" i="847"/>
  <c r="Y64" i="847"/>
  <c r="V64" i="847"/>
  <c r="U64" i="847"/>
  <c r="T64" i="847"/>
  <c r="S64" i="847"/>
  <c r="Q64" i="847"/>
  <c r="P64" i="847"/>
  <c r="O64" i="847"/>
  <c r="N64" i="847"/>
  <c r="K64" i="847"/>
  <c r="I64" i="847"/>
  <c r="G64" i="847"/>
  <c r="E64" i="847"/>
  <c r="C64" i="847"/>
  <c r="A64" i="847"/>
  <c r="AE63" i="847"/>
  <c r="AC63" i="847"/>
  <c r="AA63" i="847"/>
  <c r="Y63" i="847"/>
  <c r="V63" i="847"/>
  <c r="U63" i="847"/>
  <c r="T63" i="847"/>
  <c r="S63" i="847"/>
  <c r="Q63" i="847"/>
  <c r="P63" i="847"/>
  <c r="O63" i="847"/>
  <c r="N63" i="847"/>
  <c r="K63" i="847"/>
  <c r="I63" i="847"/>
  <c r="G63" i="847"/>
  <c r="E63" i="847"/>
  <c r="C63" i="847"/>
  <c r="A63" i="847"/>
  <c r="AE62" i="847"/>
  <c r="AC62" i="847"/>
  <c r="AA62" i="847"/>
  <c r="Y62" i="847"/>
  <c r="V62" i="847"/>
  <c r="U62" i="847"/>
  <c r="T62" i="847"/>
  <c r="S62" i="847"/>
  <c r="Q62" i="847"/>
  <c r="P62" i="847"/>
  <c r="O62" i="847"/>
  <c r="N62" i="847"/>
  <c r="K62" i="847"/>
  <c r="I62" i="847"/>
  <c r="G62" i="847"/>
  <c r="E62" i="847"/>
  <c r="C62" i="847"/>
  <c r="A62" i="847"/>
  <c r="AE61" i="847"/>
  <c r="AC61" i="847"/>
  <c r="AA61" i="847"/>
  <c r="Y61" i="847"/>
  <c r="V61" i="847"/>
  <c r="U61" i="847"/>
  <c r="T61" i="847"/>
  <c r="S61" i="847"/>
  <c r="Q61" i="847"/>
  <c r="P61" i="847"/>
  <c r="O61" i="847"/>
  <c r="N61" i="847"/>
  <c r="K61" i="847"/>
  <c r="I61" i="847"/>
  <c r="G61" i="847"/>
  <c r="E61" i="847"/>
  <c r="C61" i="847"/>
  <c r="A61" i="847"/>
  <c r="AE60" i="847"/>
  <c r="AC60" i="847"/>
  <c r="AA60" i="847"/>
  <c r="Y60" i="847"/>
  <c r="V60" i="847"/>
  <c r="U60" i="847"/>
  <c r="T60" i="847"/>
  <c r="S60" i="847"/>
  <c r="Q60" i="847"/>
  <c r="P60" i="847"/>
  <c r="O60" i="847"/>
  <c r="N60" i="847"/>
  <c r="K60" i="847"/>
  <c r="I60" i="847"/>
  <c r="G60" i="847"/>
  <c r="E60" i="847"/>
  <c r="C60" i="847"/>
  <c r="A60" i="847"/>
  <c r="AE59" i="847"/>
  <c r="AC59" i="847"/>
  <c r="AA59" i="847"/>
  <c r="Y59" i="847"/>
  <c r="V59" i="847"/>
  <c r="U59" i="847"/>
  <c r="T59" i="847"/>
  <c r="S59" i="847"/>
  <c r="Q59" i="847"/>
  <c r="P59" i="847"/>
  <c r="O59" i="847"/>
  <c r="N59" i="847"/>
  <c r="K59" i="847"/>
  <c r="I59" i="847"/>
  <c r="G59" i="847"/>
  <c r="E59" i="847"/>
  <c r="C59" i="847"/>
  <c r="A59" i="847"/>
  <c r="AE58" i="847"/>
  <c r="AC58" i="847"/>
  <c r="AA58" i="847"/>
  <c r="Y58" i="847"/>
  <c r="V58" i="847"/>
  <c r="U58" i="847"/>
  <c r="T58" i="847"/>
  <c r="S58" i="847"/>
  <c r="Q58" i="847"/>
  <c r="P58" i="847"/>
  <c r="O58" i="847"/>
  <c r="N58" i="847"/>
  <c r="K58" i="847"/>
  <c r="I58" i="847"/>
  <c r="G58" i="847"/>
  <c r="E58" i="847"/>
  <c r="C58" i="847"/>
  <c r="A58" i="847"/>
  <c r="AE57" i="847"/>
  <c r="AC57" i="847"/>
  <c r="AA57" i="847"/>
  <c r="Y57" i="847"/>
  <c r="V57" i="847"/>
  <c r="U57" i="847"/>
  <c r="T57" i="847"/>
  <c r="S57" i="847"/>
  <c r="Q57" i="847"/>
  <c r="P57" i="847"/>
  <c r="O57" i="847"/>
  <c r="N57" i="847"/>
  <c r="K57" i="847"/>
  <c r="I57" i="847"/>
  <c r="G57" i="847"/>
  <c r="E57" i="847"/>
  <c r="C57" i="847"/>
  <c r="A57" i="847"/>
  <c r="AE56" i="847"/>
  <c r="AC56" i="847"/>
  <c r="AA56" i="847"/>
  <c r="Y56" i="847"/>
  <c r="V56" i="847"/>
  <c r="U56" i="847"/>
  <c r="T56" i="847"/>
  <c r="S56" i="847"/>
  <c r="Q56" i="847"/>
  <c r="P56" i="847"/>
  <c r="O56" i="847"/>
  <c r="N56" i="847"/>
  <c r="K56" i="847"/>
  <c r="I56" i="847"/>
  <c r="G56" i="847"/>
  <c r="E56" i="847"/>
  <c r="C56" i="847"/>
  <c r="A56" i="847"/>
  <c r="AE55" i="847"/>
  <c r="AC55" i="847"/>
  <c r="AA55" i="847"/>
  <c r="Y55" i="847"/>
  <c r="V55" i="847"/>
  <c r="V66" i="847"/>
  <c r="U55" i="847"/>
  <c r="T55" i="847"/>
  <c r="S55" i="847"/>
  <c r="Q55" i="847"/>
  <c r="P55" i="847"/>
  <c r="O55" i="847"/>
  <c r="N55" i="847"/>
  <c r="K55" i="847"/>
  <c r="I55" i="847"/>
  <c r="G55" i="847"/>
  <c r="E55" i="847"/>
  <c r="C55" i="847"/>
  <c r="J29" i="847"/>
  <c r="M40" i="258"/>
  <c r="A55" i="847"/>
  <c r="AE54" i="847"/>
  <c r="AC54" i="847"/>
  <c r="AA54" i="847"/>
  <c r="Y54" i="847"/>
  <c r="V54" i="847"/>
  <c r="U54" i="847"/>
  <c r="T54" i="847"/>
  <c r="T66" i="847"/>
  <c r="S54" i="847"/>
  <c r="Q54" i="847"/>
  <c r="P54" i="847"/>
  <c r="O54" i="847"/>
  <c r="N54" i="847"/>
  <c r="K54" i="847"/>
  <c r="N25" i="847"/>
  <c r="I54" i="847"/>
  <c r="G54" i="847"/>
  <c r="E54" i="847"/>
  <c r="C54" i="847"/>
  <c r="A54" i="847"/>
  <c r="T27" i="847"/>
  <c r="AF40" i="258"/>
  <c r="S27" i="847"/>
  <c r="AE40" i="258"/>
  <c r="A19" i="847"/>
  <c r="T20" i="847"/>
  <c r="Y16" i="847"/>
  <c r="X16" i="847"/>
  <c r="AG40" i="258"/>
  <c r="W16" i="847"/>
  <c r="V16" i="847"/>
  <c r="AA40" i="258"/>
  <c r="U16" i="847"/>
  <c r="S16" i="847"/>
  <c r="S20" i="847"/>
  <c r="X40" i="258"/>
  <c r="R16" i="847"/>
  <c r="Q16" i="847"/>
  <c r="P16" i="847"/>
  <c r="O16" i="847"/>
  <c r="N16" i="847"/>
  <c r="M16" i="847"/>
  <c r="L16" i="847"/>
  <c r="K16" i="847"/>
  <c r="J16" i="847"/>
  <c r="I16" i="847"/>
  <c r="F26" i="847"/>
  <c r="F40" i="257"/>
  <c r="H16" i="847"/>
  <c r="F16" i="847"/>
  <c r="E16" i="847"/>
  <c r="C16" i="847"/>
  <c r="H94" i="846"/>
  <c r="F94" i="846"/>
  <c r="D94" i="846"/>
  <c r="B94" i="846"/>
  <c r="K79" i="846"/>
  <c r="I79" i="846"/>
  <c r="E79" i="846"/>
  <c r="C79" i="846"/>
  <c r="A79" i="846"/>
  <c r="K78" i="846"/>
  <c r="I78" i="846"/>
  <c r="E78" i="846"/>
  <c r="C78" i="846"/>
  <c r="A78" i="846"/>
  <c r="K77" i="846"/>
  <c r="I77" i="846"/>
  <c r="E77" i="846"/>
  <c r="C77" i="846"/>
  <c r="A77" i="846"/>
  <c r="K76" i="846"/>
  <c r="I76" i="846"/>
  <c r="E76" i="846"/>
  <c r="C76" i="846"/>
  <c r="A76" i="846"/>
  <c r="K75" i="846"/>
  <c r="I75" i="846"/>
  <c r="E75" i="846"/>
  <c r="C75" i="846"/>
  <c r="A75" i="846"/>
  <c r="K74" i="846"/>
  <c r="I74" i="846"/>
  <c r="E74" i="846"/>
  <c r="C74" i="846"/>
  <c r="A74" i="846"/>
  <c r="K73" i="846"/>
  <c r="I73" i="846"/>
  <c r="E73" i="846"/>
  <c r="C73" i="846"/>
  <c r="A73" i="846"/>
  <c r="K72" i="846"/>
  <c r="I72" i="846"/>
  <c r="E72" i="846"/>
  <c r="C72" i="846"/>
  <c r="A72" i="846"/>
  <c r="K71" i="846"/>
  <c r="I71" i="846"/>
  <c r="E71" i="846"/>
  <c r="C71" i="846"/>
  <c r="A71" i="846"/>
  <c r="K70" i="846"/>
  <c r="I70" i="846"/>
  <c r="E70" i="846"/>
  <c r="C70" i="846"/>
  <c r="A70" i="846"/>
  <c r="K69" i="846"/>
  <c r="I69" i="846"/>
  <c r="E69" i="846"/>
  <c r="C69" i="846"/>
  <c r="A69" i="846"/>
  <c r="K68" i="846"/>
  <c r="I68" i="846"/>
  <c r="E68" i="846"/>
  <c r="C68" i="846"/>
  <c r="A68" i="846"/>
  <c r="AE65" i="846"/>
  <c r="AC65" i="846"/>
  <c r="AA65" i="846"/>
  <c r="Y65" i="846"/>
  <c r="V65" i="846"/>
  <c r="U65" i="846"/>
  <c r="T65" i="846"/>
  <c r="S65" i="846"/>
  <c r="Q65" i="846"/>
  <c r="P65" i="846"/>
  <c r="O65" i="846"/>
  <c r="N65" i="846"/>
  <c r="K65" i="846"/>
  <c r="I65" i="846"/>
  <c r="G65" i="846"/>
  <c r="E65" i="846"/>
  <c r="C65" i="846"/>
  <c r="A65" i="846"/>
  <c r="AE64" i="846"/>
  <c r="AC64" i="846"/>
  <c r="AA64" i="846"/>
  <c r="Y64" i="846"/>
  <c r="V64" i="846"/>
  <c r="U64" i="846"/>
  <c r="T64" i="846"/>
  <c r="S64" i="846"/>
  <c r="Q64" i="846"/>
  <c r="P64" i="846"/>
  <c r="O64" i="846"/>
  <c r="N64" i="846"/>
  <c r="K64" i="846"/>
  <c r="I64" i="846"/>
  <c r="G64" i="846"/>
  <c r="E64" i="846"/>
  <c r="C64" i="846"/>
  <c r="A64" i="846"/>
  <c r="AE63" i="846"/>
  <c r="AC63" i="846"/>
  <c r="AA63" i="846"/>
  <c r="Y63" i="846"/>
  <c r="V63" i="846"/>
  <c r="U63" i="846"/>
  <c r="T63" i="846"/>
  <c r="S63" i="846"/>
  <c r="Q63" i="846"/>
  <c r="P63" i="846"/>
  <c r="O63" i="846"/>
  <c r="N63" i="846"/>
  <c r="K63" i="846"/>
  <c r="I63" i="846"/>
  <c r="G63" i="846"/>
  <c r="E63" i="846"/>
  <c r="C63" i="846"/>
  <c r="A63" i="846"/>
  <c r="AE62" i="846"/>
  <c r="AC62" i="846"/>
  <c r="AA62" i="846"/>
  <c r="Y62" i="846"/>
  <c r="V62" i="846"/>
  <c r="U62" i="846"/>
  <c r="T62" i="846"/>
  <c r="S62" i="846"/>
  <c r="Q62" i="846"/>
  <c r="P62" i="846"/>
  <c r="O62" i="846"/>
  <c r="N62" i="846"/>
  <c r="K62" i="846"/>
  <c r="I62" i="846"/>
  <c r="G62" i="846"/>
  <c r="E62" i="846"/>
  <c r="C62" i="846"/>
  <c r="A62" i="846"/>
  <c r="AE61" i="846"/>
  <c r="AC61" i="846"/>
  <c r="AA61" i="846"/>
  <c r="Y61" i="846"/>
  <c r="V61" i="846"/>
  <c r="U61" i="846"/>
  <c r="T61" i="846"/>
  <c r="S61" i="846"/>
  <c r="Q61" i="846"/>
  <c r="P61" i="846"/>
  <c r="O61" i="846"/>
  <c r="N61" i="846"/>
  <c r="K61" i="846"/>
  <c r="I61" i="846"/>
  <c r="G61" i="846"/>
  <c r="E61" i="846"/>
  <c r="C61" i="846"/>
  <c r="A61" i="846"/>
  <c r="AE60" i="846"/>
  <c r="AC60" i="846"/>
  <c r="AA60" i="846"/>
  <c r="Y60" i="846"/>
  <c r="V60" i="846"/>
  <c r="U60" i="846"/>
  <c r="T60" i="846"/>
  <c r="S60" i="846"/>
  <c r="Q60" i="846"/>
  <c r="P60" i="846"/>
  <c r="O60" i="846"/>
  <c r="N60" i="846"/>
  <c r="K60" i="846"/>
  <c r="I60" i="846"/>
  <c r="G60" i="846"/>
  <c r="E60" i="846"/>
  <c r="C60" i="846"/>
  <c r="A60" i="846"/>
  <c r="AE59" i="846"/>
  <c r="AC59" i="846"/>
  <c r="AA59" i="846"/>
  <c r="Y59" i="846"/>
  <c r="V59" i="846"/>
  <c r="U59" i="846"/>
  <c r="T59" i="846"/>
  <c r="S59" i="846"/>
  <c r="Q59" i="846"/>
  <c r="P59" i="846"/>
  <c r="O59" i="846"/>
  <c r="N59" i="846"/>
  <c r="K59" i="846"/>
  <c r="I59" i="846"/>
  <c r="G59" i="846"/>
  <c r="E59" i="846"/>
  <c r="C59" i="846"/>
  <c r="A59" i="846"/>
  <c r="AE58" i="846"/>
  <c r="AC58" i="846"/>
  <c r="AA58" i="846"/>
  <c r="Y58" i="846"/>
  <c r="V58" i="846"/>
  <c r="U58" i="846"/>
  <c r="T58" i="846"/>
  <c r="S58" i="846"/>
  <c r="Q58" i="846"/>
  <c r="P58" i="846"/>
  <c r="O58" i="846"/>
  <c r="N58" i="846"/>
  <c r="K58" i="846"/>
  <c r="I58" i="846"/>
  <c r="G58" i="846"/>
  <c r="E58" i="846"/>
  <c r="C58" i="846"/>
  <c r="A58" i="846"/>
  <c r="AE57" i="846"/>
  <c r="AC57" i="846"/>
  <c r="AA57" i="846"/>
  <c r="Y57" i="846"/>
  <c r="V57" i="846"/>
  <c r="U57" i="846"/>
  <c r="T57" i="846"/>
  <c r="S57" i="846"/>
  <c r="Q57" i="846"/>
  <c r="P57" i="846"/>
  <c r="O57" i="846"/>
  <c r="N57" i="846"/>
  <c r="K57" i="846"/>
  <c r="I57" i="846"/>
  <c r="G57" i="846"/>
  <c r="E57" i="846"/>
  <c r="C57" i="846"/>
  <c r="A57" i="846"/>
  <c r="AE56" i="846"/>
  <c r="AC56" i="846"/>
  <c r="AA56" i="846"/>
  <c r="Y56" i="846"/>
  <c r="V56" i="846"/>
  <c r="U56" i="846"/>
  <c r="T56" i="846"/>
  <c r="S56" i="846"/>
  <c r="Q56" i="846"/>
  <c r="P56" i="846"/>
  <c r="O56" i="846"/>
  <c r="N56" i="846"/>
  <c r="K56" i="846"/>
  <c r="I56" i="846"/>
  <c r="G56" i="846"/>
  <c r="E56" i="846"/>
  <c r="C56" i="846"/>
  <c r="A56" i="846"/>
  <c r="AE55" i="846"/>
  <c r="AC55" i="846"/>
  <c r="AA55" i="846"/>
  <c r="Y55" i="846"/>
  <c r="V55" i="846"/>
  <c r="U55" i="846"/>
  <c r="T55" i="846"/>
  <c r="S55" i="846"/>
  <c r="Q55" i="846"/>
  <c r="P55" i="846"/>
  <c r="O55" i="846"/>
  <c r="N55" i="846"/>
  <c r="K55" i="846"/>
  <c r="I55" i="846"/>
  <c r="G55" i="846"/>
  <c r="E55" i="846"/>
  <c r="C55" i="846"/>
  <c r="A55" i="846"/>
  <c r="AE54" i="846"/>
  <c r="AC54" i="846"/>
  <c r="AC66" i="846"/>
  <c r="AA54" i="846"/>
  <c r="AA66" i="846"/>
  <c r="Y54" i="846"/>
  <c r="Y66" i="846"/>
  <c r="V54" i="846"/>
  <c r="U54" i="846"/>
  <c r="T54" i="846"/>
  <c r="S54" i="846"/>
  <c r="S66" i="846"/>
  <c r="Q54" i="846"/>
  <c r="P54" i="846"/>
  <c r="O54" i="846"/>
  <c r="N54" i="846"/>
  <c r="K54" i="846"/>
  <c r="Q25" i="846"/>
  <c r="I54" i="846"/>
  <c r="G54" i="846"/>
  <c r="E54" i="846"/>
  <c r="C54" i="846"/>
  <c r="A54" i="846"/>
  <c r="T27" i="846"/>
  <c r="AF41" i="258"/>
  <c r="S27" i="846"/>
  <c r="AE41" i="258"/>
  <c r="N25" i="846"/>
  <c r="K24" i="846"/>
  <c r="I41" i="258"/>
  <c r="A19" i="846"/>
  <c r="T20" i="846"/>
  <c r="Y16" i="846"/>
  <c r="X16" i="846"/>
  <c r="AG41" i="258"/>
  <c r="W16" i="846"/>
  <c r="V16" i="846"/>
  <c r="AA41" i="258"/>
  <c r="U16" i="846"/>
  <c r="S16" i="846"/>
  <c r="S20" i="846"/>
  <c r="X41" i="258"/>
  <c r="R16" i="846"/>
  <c r="Q16" i="846"/>
  <c r="P16" i="846"/>
  <c r="O16" i="846"/>
  <c r="N16" i="846"/>
  <c r="M16" i="846"/>
  <c r="L16" i="846"/>
  <c r="K16" i="846"/>
  <c r="J16" i="846"/>
  <c r="I16" i="846"/>
  <c r="H16" i="846"/>
  <c r="F16" i="846"/>
  <c r="E16" i="846"/>
  <c r="C16" i="846"/>
  <c r="H94" i="845"/>
  <c r="F94" i="845"/>
  <c r="D94" i="845"/>
  <c r="B94" i="845"/>
  <c r="K79" i="845"/>
  <c r="I79" i="845"/>
  <c r="E79" i="845"/>
  <c r="C79" i="845"/>
  <c r="A79" i="845"/>
  <c r="K78" i="845"/>
  <c r="I78" i="845"/>
  <c r="E78" i="845"/>
  <c r="C78" i="845"/>
  <c r="A78" i="845"/>
  <c r="K77" i="845"/>
  <c r="I77" i="845"/>
  <c r="E77" i="845"/>
  <c r="C77" i="845"/>
  <c r="A77" i="845"/>
  <c r="K76" i="845"/>
  <c r="I76" i="845"/>
  <c r="E76" i="845"/>
  <c r="C76" i="845"/>
  <c r="A76" i="845"/>
  <c r="K75" i="845"/>
  <c r="I75" i="845"/>
  <c r="E75" i="845"/>
  <c r="C75" i="845"/>
  <c r="A75" i="845"/>
  <c r="K74" i="845"/>
  <c r="I74" i="845"/>
  <c r="E74" i="845"/>
  <c r="C74" i="845"/>
  <c r="A74" i="845"/>
  <c r="K73" i="845"/>
  <c r="I73" i="845"/>
  <c r="E73" i="845"/>
  <c r="C73" i="845"/>
  <c r="A73" i="845"/>
  <c r="K72" i="845"/>
  <c r="I72" i="845"/>
  <c r="E72" i="845"/>
  <c r="C72" i="845"/>
  <c r="A72" i="845"/>
  <c r="K71" i="845"/>
  <c r="I71" i="845"/>
  <c r="E71" i="845"/>
  <c r="C71" i="845"/>
  <c r="A71" i="845"/>
  <c r="K70" i="845"/>
  <c r="I70" i="845"/>
  <c r="E70" i="845"/>
  <c r="C70" i="845"/>
  <c r="A70" i="845"/>
  <c r="K69" i="845"/>
  <c r="I69" i="845"/>
  <c r="E69" i="845"/>
  <c r="C69" i="845"/>
  <c r="A69" i="845"/>
  <c r="K68" i="845"/>
  <c r="I68" i="845"/>
  <c r="E68" i="845"/>
  <c r="C68" i="845"/>
  <c r="A68" i="845"/>
  <c r="AE65" i="845"/>
  <c r="AC65" i="845"/>
  <c r="AA65" i="845"/>
  <c r="Y65" i="845"/>
  <c r="V65" i="845"/>
  <c r="U65" i="845"/>
  <c r="T65" i="845"/>
  <c r="S65" i="845"/>
  <c r="Q65" i="845"/>
  <c r="P65" i="845"/>
  <c r="O65" i="845"/>
  <c r="N65" i="845"/>
  <c r="K65" i="845"/>
  <c r="I65" i="845"/>
  <c r="G65" i="845"/>
  <c r="K37" i="845"/>
  <c r="E65" i="845"/>
  <c r="C65" i="845"/>
  <c r="A65" i="845"/>
  <c r="AE64" i="845"/>
  <c r="AC64" i="845"/>
  <c r="AA64" i="845"/>
  <c r="Y64" i="845"/>
  <c r="V64" i="845"/>
  <c r="U64" i="845"/>
  <c r="T64" i="845"/>
  <c r="S64" i="845"/>
  <c r="Q64" i="845"/>
  <c r="P64" i="845"/>
  <c r="O64" i="845"/>
  <c r="N64" i="845"/>
  <c r="K64" i="845"/>
  <c r="I64" i="845"/>
  <c r="P22" i="845"/>
  <c r="G64" i="845"/>
  <c r="E64" i="845"/>
  <c r="C64" i="845"/>
  <c r="A64" i="845"/>
  <c r="AE63" i="845"/>
  <c r="AC63" i="845"/>
  <c r="AA63" i="845"/>
  <c r="Y63" i="845"/>
  <c r="V63" i="845"/>
  <c r="U63" i="845"/>
  <c r="T63" i="845"/>
  <c r="S63" i="845"/>
  <c r="Q63" i="845"/>
  <c r="P63" i="845"/>
  <c r="O63" i="845"/>
  <c r="N63" i="845"/>
  <c r="K63" i="845"/>
  <c r="I63" i="845"/>
  <c r="G63" i="845"/>
  <c r="E63" i="845"/>
  <c r="C63" i="845"/>
  <c r="A63" i="845"/>
  <c r="AE62" i="845"/>
  <c r="AC62" i="845"/>
  <c r="AA62" i="845"/>
  <c r="Y62" i="845"/>
  <c r="V62" i="845"/>
  <c r="U62" i="845"/>
  <c r="T62" i="845"/>
  <c r="S62" i="845"/>
  <c r="Q62" i="845"/>
  <c r="P62" i="845"/>
  <c r="O62" i="845"/>
  <c r="N62" i="845"/>
  <c r="K62" i="845"/>
  <c r="I62" i="845"/>
  <c r="G62" i="845"/>
  <c r="E62" i="845"/>
  <c r="C62" i="845"/>
  <c r="A62" i="845"/>
  <c r="AE61" i="845"/>
  <c r="AC61" i="845"/>
  <c r="AA61" i="845"/>
  <c r="Y61" i="845"/>
  <c r="V61" i="845"/>
  <c r="U61" i="845"/>
  <c r="T61" i="845"/>
  <c r="S61" i="845"/>
  <c r="Q61" i="845"/>
  <c r="P61" i="845"/>
  <c r="O61" i="845"/>
  <c r="N61" i="845"/>
  <c r="K61" i="845"/>
  <c r="I61" i="845"/>
  <c r="G61" i="845"/>
  <c r="E61" i="845"/>
  <c r="C61" i="845"/>
  <c r="A61" i="845"/>
  <c r="AE60" i="845"/>
  <c r="AC60" i="845"/>
  <c r="AA60" i="845"/>
  <c r="Y60" i="845"/>
  <c r="V60" i="845"/>
  <c r="U60" i="845"/>
  <c r="T60" i="845"/>
  <c r="S60" i="845"/>
  <c r="Q60" i="845"/>
  <c r="P60" i="845"/>
  <c r="O60" i="845"/>
  <c r="N60" i="845"/>
  <c r="K60" i="845"/>
  <c r="I60" i="845"/>
  <c r="G60" i="845"/>
  <c r="E60" i="845"/>
  <c r="C60" i="845"/>
  <c r="A60" i="845"/>
  <c r="AE59" i="845"/>
  <c r="AC59" i="845"/>
  <c r="AA59" i="845"/>
  <c r="Y59" i="845"/>
  <c r="V59" i="845"/>
  <c r="U59" i="845"/>
  <c r="T59" i="845"/>
  <c r="S59" i="845"/>
  <c r="Q59" i="845"/>
  <c r="P59" i="845"/>
  <c r="O59" i="845"/>
  <c r="N59" i="845"/>
  <c r="K59" i="845"/>
  <c r="I59" i="845"/>
  <c r="G59" i="845"/>
  <c r="E59" i="845"/>
  <c r="C59" i="845"/>
  <c r="A59" i="845"/>
  <c r="AE58" i="845"/>
  <c r="AC58" i="845"/>
  <c r="AA58" i="845"/>
  <c r="Y58" i="845"/>
  <c r="V58" i="845"/>
  <c r="U58" i="845"/>
  <c r="T58" i="845"/>
  <c r="S58" i="845"/>
  <c r="Q58" i="845"/>
  <c r="P58" i="845"/>
  <c r="O58" i="845"/>
  <c r="N58" i="845"/>
  <c r="K58" i="845"/>
  <c r="I58" i="845"/>
  <c r="G58" i="845"/>
  <c r="E58" i="845"/>
  <c r="C58" i="845"/>
  <c r="A58" i="845"/>
  <c r="AE57" i="845"/>
  <c r="AC57" i="845"/>
  <c r="AA57" i="845"/>
  <c r="Y57" i="845"/>
  <c r="V57" i="845"/>
  <c r="U57" i="845"/>
  <c r="T57" i="845"/>
  <c r="S57" i="845"/>
  <c r="Q57" i="845"/>
  <c r="P57" i="845"/>
  <c r="O57" i="845"/>
  <c r="N57" i="845"/>
  <c r="K57" i="845"/>
  <c r="I57" i="845"/>
  <c r="G57" i="845"/>
  <c r="E57" i="845"/>
  <c r="C57" i="845"/>
  <c r="A57" i="845"/>
  <c r="AE56" i="845"/>
  <c r="AC56" i="845"/>
  <c r="AA56" i="845"/>
  <c r="Y56" i="845"/>
  <c r="V56" i="845"/>
  <c r="U56" i="845"/>
  <c r="T56" i="845"/>
  <c r="S56" i="845"/>
  <c r="Q56" i="845"/>
  <c r="P56" i="845"/>
  <c r="O56" i="845"/>
  <c r="N56" i="845"/>
  <c r="K56" i="845"/>
  <c r="I56" i="845"/>
  <c r="G56" i="845"/>
  <c r="E56" i="845"/>
  <c r="I34" i="845"/>
  <c r="P42" i="258"/>
  <c r="C56" i="845"/>
  <c r="A56" i="845"/>
  <c r="J24" i="845"/>
  <c r="K42" i="257"/>
  <c r="AE55" i="845"/>
  <c r="AC55" i="845"/>
  <c r="AA55" i="845"/>
  <c r="Y55" i="845"/>
  <c r="V55" i="845"/>
  <c r="U55" i="845"/>
  <c r="T55" i="845"/>
  <c r="S55" i="845"/>
  <c r="Q55" i="845"/>
  <c r="P55" i="845"/>
  <c r="O55" i="845"/>
  <c r="N55" i="845"/>
  <c r="K55" i="845"/>
  <c r="O25" i="845"/>
  <c r="I55" i="845"/>
  <c r="G55" i="845"/>
  <c r="E55" i="845"/>
  <c r="C55" i="845"/>
  <c r="A55" i="845"/>
  <c r="AE54" i="845"/>
  <c r="AE66" i="845"/>
  <c r="AC54" i="845"/>
  <c r="AA54" i="845"/>
  <c r="AA66" i="845"/>
  <c r="Y54" i="845"/>
  <c r="V54" i="845"/>
  <c r="U54" i="845"/>
  <c r="T54" i="845"/>
  <c r="S54" i="845"/>
  <c r="S66" i="845"/>
  <c r="Q54" i="845"/>
  <c r="P54" i="845"/>
  <c r="O54" i="845"/>
  <c r="N54" i="845"/>
  <c r="K54" i="845"/>
  <c r="I54" i="845"/>
  <c r="N22" i="845"/>
  <c r="G54" i="845"/>
  <c r="E54" i="845"/>
  <c r="K34" i="845"/>
  <c r="V42" i="257"/>
  <c r="C54" i="845"/>
  <c r="A54" i="845"/>
  <c r="I24" i="845"/>
  <c r="G42" i="258"/>
  <c r="L34" i="845"/>
  <c r="Y42" i="257"/>
  <c r="S30" i="845"/>
  <c r="AB42" i="258"/>
  <c r="T27" i="845"/>
  <c r="AF42" i="258"/>
  <c r="S27" i="845"/>
  <c r="AE42" i="258"/>
  <c r="A19" i="845"/>
  <c r="T20" i="845"/>
  <c r="Y16" i="845"/>
  <c r="X16" i="845"/>
  <c r="AG42" i="258"/>
  <c r="W16" i="845"/>
  <c r="V16" i="845"/>
  <c r="AA42" i="258"/>
  <c r="U16" i="845"/>
  <c r="S16" i="845"/>
  <c r="S20" i="845"/>
  <c r="X42" i="258"/>
  <c r="R16" i="845"/>
  <c r="Q16" i="845"/>
  <c r="P16" i="845"/>
  <c r="O16" i="845"/>
  <c r="N16" i="845"/>
  <c r="M16" i="845"/>
  <c r="L16" i="845"/>
  <c r="K16" i="845"/>
  <c r="J16" i="845"/>
  <c r="I16" i="845"/>
  <c r="H16" i="845"/>
  <c r="F16" i="845"/>
  <c r="E16" i="845"/>
  <c r="C16" i="845"/>
  <c r="H94" i="844"/>
  <c r="F94" i="844"/>
  <c r="D94" i="844"/>
  <c r="B94" i="844"/>
  <c r="K79" i="844"/>
  <c r="I79" i="844"/>
  <c r="E79" i="844"/>
  <c r="C79" i="844"/>
  <c r="A79" i="844"/>
  <c r="K78" i="844"/>
  <c r="I78" i="844"/>
  <c r="E78" i="844"/>
  <c r="C78" i="844"/>
  <c r="A78" i="844"/>
  <c r="K77" i="844"/>
  <c r="I77" i="844"/>
  <c r="E77" i="844"/>
  <c r="C77" i="844"/>
  <c r="A77" i="844"/>
  <c r="K76" i="844"/>
  <c r="I76" i="844"/>
  <c r="E76" i="844"/>
  <c r="C76" i="844"/>
  <c r="A76" i="844"/>
  <c r="K75" i="844"/>
  <c r="I75" i="844"/>
  <c r="E75" i="844"/>
  <c r="C75" i="844"/>
  <c r="A75" i="844"/>
  <c r="K74" i="844"/>
  <c r="I74" i="844"/>
  <c r="E74" i="844"/>
  <c r="C74" i="844"/>
  <c r="A74" i="844"/>
  <c r="K73" i="844"/>
  <c r="I73" i="844"/>
  <c r="E73" i="844"/>
  <c r="C73" i="844"/>
  <c r="A73" i="844"/>
  <c r="K72" i="844"/>
  <c r="I72" i="844"/>
  <c r="E72" i="844"/>
  <c r="C72" i="844"/>
  <c r="A72" i="844"/>
  <c r="K71" i="844"/>
  <c r="I71" i="844"/>
  <c r="E71" i="844"/>
  <c r="C71" i="844"/>
  <c r="A71" i="844"/>
  <c r="K70" i="844"/>
  <c r="I70" i="844"/>
  <c r="E70" i="844"/>
  <c r="C70" i="844"/>
  <c r="A70" i="844"/>
  <c r="K69" i="844"/>
  <c r="I69" i="844"/>
  <c r="E69" i="844"/>
  <c r="C69" i="844"/>
  <c r="A69" i="844"/>
  <c r="K68" i="844"/>
  <c r="I68" i="844"/>
  <c r="E68" i="844"/>
  <c r="C68" i="844"/>
  <c r="A68" i="844"/>
  <c r="AE65" i="844"/>
  <c r="AC65" i="844"/>
  <c r="AA65" i="844"/>
  <c r="Y65" i="844"/>
  <c r="V65" i="844"/>
  <c r="U65" i="844"/>
  <c r="T65" i="844"/>
  <c r="S65" i="844"/>
  <c r="Q65" i="844"/>
  <c r="P65" i="844"/>
  <c r="O65" i="844"/>
  <c r="N65" i="844"/>
  <c r="K65" i="844"/>
  <c r="I65" i="844"/>
  <c r="G65" i="844"/>
  <c r="K37" i="844"/>
  <c r="E65" i="844"/>
  <c r="C65" i="844"/>
  <c r="A65" i="844"/>
  <c r="AE64" i="844"/>
  <c r="AC64" i="844"/>
  <c r="AA64" i="844"/>
  <c r="Y64" i="844"/>
  <c r="V64" i="844"/>
  <c r="U64" i="844"/>
  <c r="T64" i="844"/>
  <c r="S64" i="844"/>
  <c r="Q64" i="844"/>
  <c r="P64" i="844"/>
  <c r="O64" i="844"/>
  <c r="N64" i="844"/>
  <c r="K64" i="844"/>
  <c r="I64" i="844"/>
  <c r="G64" i="844"/>
  <c r="E64" i="844"/>
  <c r="C64" i="844"/>
  <c r="A64" i="844"/>
  <c r="AE63" i="844"/>
  <c r="AC63" i="844"/>
  <c r="AA63" i="844"/>
  <c r="Y63" i="844"/>
  <c r="V63" i="844"/>
  <c r="U63" i="844"/>
  <c r="T63" i="844"/>
  <c r="S63" i="844"/>
  <c r="Q63" i="844"/>
  <c r="P63" i="844"/>
  <c r="O63" i="844"/>
  <c r="N63" i="844"/>
  <c r="K63" i="844"/>
  <c r="I63" i="844"/>
  <c r="G63" i="844"/>
  <c r="E63" i="844"/>
  <c r="C63" i="844"/>
  <c r="A63" i="844"/>
  <c r="AE62" i="844"/>
  <c r="AC62" i="844"/>
  <c r="AA62" i="844"/>
  <c r="Y62" i="844"/>
  <c r="V62" i="844"/>
  <c r="U62" i="844"/>
  <c r="T62" i="844"/>
  <c r="S62" i="844"/>
  <c r="Q62" i="844"/>
  <c r="P62" i="844"/>
  <c r="O62" i="844"/>
  <c r="N62" i="844"/>
  <c r="K62" i="844"/>
  <c r="I62" i="844"/>
  <c r="G62" i="844"/>
  <c r="E62" i="844"/>
  <c r="C62" i="844"/>
  <c r="A62" i="844"/>
  <c r="AE61" i="844"/>
  <c r="AC61" i="844"/>
  <c r="AA61" i="844"/>
  <c r="Y61" i="844"/>
  <c r="V61" i="844"/>
  <c r="U61" i="844"/>
  <c r="T61" i="844"/>
  <c r="S61" i="844"/>
  <c r="Q61" i="844"/>
  <c r="P61" i="844"/>
  <c r="O61" i="844"/>
  <c r="N61" i="844"/>
  <c r="K61" i="844"/>
  <c r="I61" i="844"/>
  <c r="O22" i="844"/>
  <c r="G61" i="844"/>
  <c r="E61" i="844"/>
  <c r="C61" i="844"/>
  <c r="A61" i="844"/>
  <c r="AE60" i="844"/>
  <c r="AC60" i="844"/>
  <c r="AA60" i="844"/>
  <c r="Y60" i="844"/>
  <c r="V60" i="844"/>
  <c r="U60" i="844"/>
  <c r="T60" i="844"/>
  <c r="S60" i="844"/>
  <c r="Q60" i="844"/>
  <c r="P60" i="844"/>
  <c r="O60" i="844"/>
  <c r="N60" i="844"/>
  <c r="K60" i="844"/>
  <c r="I60" i="844"/>
  <c r="G60" i="844"/>
  <c r="E60" i="844"/>
  <c r="C60" i="844"/>
  <c r="A60" i="844"/>
  <c r="AE59" i="844"/>
  <c r="AC59" i="844"/>
  <c r="AA59" i="844"/>
  <c r="Y59" i="844"/>
  <c r="V59" i="844"/>
  <c r="U59" i="844"/>
  <c r="T59" i="844"/>
  <c r="S59" i="844"/>
  <c r="Q59" i="844"/>
  <c r="P59" i="844"/>
  <c r="O59" i="844"/>
  <c r="N59" i="844"/>
  <c r="K59" i="844"/>
  <c r="I59" i="844"/>
  <c r="G59" i="844"/>
  <c r="E59" i="844"/>
  <c r="C59" i="844"/>
  <c r="A59" i="844"/>
  <c r="AE58" i="844"/>
  <c r="AC58" i="844"/>
  <c r="AA58" i="844"/>
  <c r="Y58" i="844"/>
  <c r="V58" i="844"/>
  <c r="U58" i="844"/>
  <c r="T58" i="844"/>
  <c r="S58" i="844"/>
  <c r="Q58" i="844"/>
  <c r="P58" i="844"/>
  <c r="O58" i="844"/>
  <c r="N58" i="844"/>
  <c r="K58" i="844"/>
  <c r="I58" i="844"/>
  <c r="G58" i="844"/>
  <c r="E58" i="844"/>
  <c r="C58" i="844"/>
  <c r="A58" i="844"/>
  <c r="AE57" i="844"/>
  <c r="AC57" i="844"/>
  <c r="AA57" i="844"/>
  <c r="Y57" i="844"/>
  <c r="V57" i="844"/>
  <c r="U57" i="844"/>
  <c r="T57" i="844"/>
  <c r="S57" i="844"/>
  <c r="Q57" i="844"/>
  <c r="P57" i="844"/>
  <c r="O57" i="844"/>
  <c r="N57" i="844"/>
  <c r="K57" i="844"/>
  <c r="I57" i="844"/>
  <c r="G57" i="844"/>
  <c r="E57" i="844"/>
  <c r="C57" i="844"/>
  <c r="A57" i="844"/>
  <c r="AE56" i="844"/>
  <c r="AC56" i="844"/>
  <c r="AA56" i="844"/>
  <c r="Y56" i="844"/>
  <c r="V56" i="844"/>
  <c r="U56" i="844"/>
  <c r="T56" i="844"/>
  <c r="S56" i="844"/>
  <c r="Q56" i="844"/>
  <c r="P56" i="844"/>
  <c r="O56" i="844"/>
  <c r="N56" i="844"/>
  <c r="K56" i="844"/>
  <c r="I56" i="844"/>
  <c r="G56" i="844"/>
  <c r="E56" i="844"/>
  <c r="C56" i="844"/>
  <c r="A56" i="844"/>
  <c r="AE55" i="844"/>
  <c r="AC55" i="844"/>
  <c r="AA55" i="844"/>
  <c r="Y55" i="844"/>
  <c r="V55" i="844"/>
  <c r="U55" i="844"/>
  <c r="T55" i="844"/>
  <c r="S55" i="844"/>
  <c r="Q55" i="844"/>
  <c r="P55" i="844"/>
  <c r="O55" i="844"/>
  <c r="N55" i="844"/>
  <c r="K55" i="844"/>
  <c r="I55" i="844"/>
  <c r="G55" i="844"/>
  <c r="E55" i="844"/>
  <c r="C55" i="844"/>
  <c r="A55" i="844"/>
  <c r="AE54" i="844"/>
  <c r="AC54" i="844"/>
  <c r="AA54" i="844"/>
  <c r="Y54" i="844"/>
  <c r="Y66" i="844"/>
  <c r="V54" i="844"/>
  <c r="U54" i="844"/>
  <c r="U66" i="844"/>
  <c r="T54" i="844"/>
  <c r="S54" i="844"/>
  <c r="Q54" i="844"/>
  <c r="P54" i="844"/>
  <c r="O54" i="844"/>
  <c r="N54" i="844"/>
  <c r="N66" i="844"/>
  <c r="K54" i="844"/>
  <c r="I54" i="844"/>
  <c r="G54" i="844"/>
  <c r="E54" i="844"/>
  <c r="C54" i="844"/>
  <c r="A54" i="844"/>
  <c r="J34" i="844"/>
  <c r="U43" i="257"/>
  <c r="T27" i="844"/>
  <c r="AF43" i="258"/>
  <c r="S27" i="844"/>
  <c r="AE43" i="258"/>
  <c r="C43" i="258"/>
  <c r="A19" i="844"/>
  <c r="T20" i="844"/>
  <c r="Y16" i="844"/>
  <c r="X16" i="844"/>
  <c r="AG43" i="258"/>
  <c r="W16" i="844"/>
  <c r="V16" i="844"/>
  <c r="AA43" i="258"/>
  <c r="U16" i="844"/>
  <c r="S16" i="844"/>
  <c r="S20" i="844"/>
  <c r="X43" i="258"/>
  <c r="R16" i="844"/>
  <c r="Q16" i="844"/>
  <c r="P16" i="844"/>
  <c r="O16" i="844"/>
  <c r="N16" i="844"/>
  <c r="M16" i="844"/>
  <c r="L16" i="844"/>
  <c r="K16" i="844"/>
  <c r="J16" i="844"/>
  <c r="I16" i="844"/>
  <c r="H16" i="844"/>
  <c r="F16" i="844"/>
  <c r="E16" i="844"/>
  <c r="B43" i="258"/>
  <c r="C16" i="844"/>
  <c r="H94" i="843"/>
  <c r="F94" i="843"/>
  <c r="D94" i="843"/>
  <c r="B94" i="843"/>
  <c r="K79" i="843"/>
  <c r="I79" i="843"/>
  <c r="E79" i="843"/>
  <c r="C79" i="843"/>
  <c r="A79" i="843"/>
  <c r="K78" i="843"/>
  <c r="I78" i="843"/>
  <c r="E78" i="843"/>
  <c r="C78" i="843"/>
  <c r="A78" i="843"/>
  <c r="K77" i="843"/>
  <c r="I77" i="843"/>
  <c r="E77" i="843"/>
  <c r="C77" i="843"/>
  <c r="A77" i="843"/>
  <c r="K76" i="843"/>
  <c r="I76" i="843"/>
  <c r="E76" i="843"/>
  <c r="C76" i="843"/>
  <c r="A76" i="843"/>
  <c r="K75" i="843"/>
  <c r="I75" i="843"/>
  <c r="E75" i="843"/>
  <c r="C75" i="843"/>
  <c r="A75" i="843"/>
  <c r="K74" i="843"/>
  <c r="I74" i="843"/>
  <c r="E74" i="843"/>
  <c r="C74" i="843"/>
  <c r="A74" i="843"/>
  <c r="K73" i="843"/>
  <c r="I73" i="843"/>
  <c r="E73" i="843"/>
  <c r="C73" i="843"/>
  <c r="A73" i="843"/>
  <c r="K72" i="843"/>
  <c r="I72" i="843"/>
  <c r="E72" i="843"/>
  <c r="C72" i="843"/>
  <c r="A72" i="843"/>
  <c r="K71" i="843"/>
  <c r="I71" i="843"/>
  <c r="E71" i="843"/>
  <c r="C71" i="843"/>
  <c r="A71" i="843"/>
  <c r="K70" i="843"/>
  <c r="I70" i="843"/>
  <c r="E70" i="843"/>
  <c r="C70" i="843"/>
  <c r="A70" i="843"/>
  <c r="K69" i="843"/>
  <c r="I69" i="843"/>
  <c r="E69" i="843"/>
  <c r="C69" i="843"/>
  <c r="A69" i="843"/>
  <c r="K68" i="843"/>
  <c r="I68" i="843"/>
  <c r="E68" i="843"/>
  <c r="C68" i="843"/>
  <c r="A68" i="843"/>
  <c r="AE65" i="843"/>
  <c r="AC65" i="843"/>
  <c r="AA65" i="843"/>
  <c r="Y65" i="843"/>
  <c r="V65" i="843"/>
  <c r="U65" i="843"/>
  <c r="T65" i="843"/>
  <c r="S65" i="843"/>
  <c r="Q65" i="843"/>
  <c r="P65" i="843"/>
  <c r="O65" i="843"/>
  <c r="N65" i="843"/>
  <c r="K65" i="843"/>
  <c r="I65" i="843"/>
  <c r="P22" i="843"/>
  <c r="G65" i="843"/>
  <c r="E65" i="843"/>
  <c r="C65" i="843"/>
  <c r="A65" i="843"/>
  <c r="AE64" i="843"/>
  <c r="AC64" i="843"/>
  <c r="AA64" i="843"/>
  <c r="Y64" i="843"/>
  <c r="V64" i="843"/>
  <c r="U64" i="843"/>
  <c r="T64" i="843"/>
  <c r="S64" i="843"/>
  <c r="Q64" i="843"/>
  <c r="P64" i="843"/>
  <c r="O64" i="843"/>
  <c r="N64" i="843"/>
  <c r="K64" i="843"/>
  <c r="I64" i="843"/>
  <c r="G64" i="843"/>
  <c r="E64" i="843"/>
  <c r="C64" i="843"/>
  <c r="A64" i="843"/>
  <c r="AE63" i="843"/>
  <c r="AC63" i="843"/>
  <c r="AA63" i="843"/>
  <c r="Y63" i="843"/>
  <c r="V63" i="843"/>
  <c r="U63" i="843"/>
  <c r="T63" i="843"/>
  <c r="S63" i="843"/>
  <c r="Q63" i="843"/>
  <c r="P63" i="843"/>
  <c r="O63" i="843"/>
  <c r="N63" i="843"/>
  <c r="K63" i="843"/>
  <c r="I63" i="843"/>
  <c r="G63" i="843"/>
  <c r="E63" i="843"/>
  <c r="C63" i="843"/>
  <c r="A63" i="843"/>
  <c r="AE62" i="843"/>
  <c r="AC62" i="843"/>
  <c r="AA62" i="843"/>
  <c r="Y62" i="843"/>
  <c r="V62" i="843"/>
  <c r="U62" i="843"/>
  <c r="T62" i="843"/>
  <c r="S62" i="843"/>
  <c r="Q62" i="843"/>
  <c r="P62" i="843"/>
  <c r="O62" i="843"/>
  <c r="N62" i="843"/>
  <c r="K62" i="843"/>
  <c r="I62" i="843"/>
  <c r="G62" i="843"/>
  <c r="E62" i="843"/>
  <c r="C62" i="843"/>
  <c r="A62" i="843"/>
  <c r="AE61" i="843"/>
  <c r="AC61" i="843"/>
  <c r="AA61" i="843"/>
  <c r="Y61" i="843"/>
  <c r="V61" i="843"/>
  <c r="U61" i="843"/>
  <c r="T61" i="843"/>
  <c r="S61" i="843"/>
  <c r="Q61" i="843"/>
  <c r="P61" i="843"/>
  <c r="O61" i="843"/>
  <c r="N61" i="843"/>
  <c r="K61" i="843"/>
  <c r="I61" i="843"/>
  <c r="G61" i="843"/>
  <c r="E61" i="843"/>
  <c r="C61" i="843"/>
  <c r="A61" i="843"/>
  <c r="AE60" i="843"/>
  <c r="AC60" i="843"/>
  <c r="AA60" i="843"/>
  <c r="Y60" i="843"/>
  <c r="V60" i="843"/>
  <c r="U60" i="843"/>
  <c r="T60" i="843"/>
  <c r="S60" i="843"/>
  <c r="Q60" i="843"/>
  <c r="P60" i="843"/>
  <c r="O60" i="843"/>
  <c r="N60" i="843"/>
  <c r="K60" i="843"/>
  <c r="I60" i="843"/>
  <c r="G60" i="843"/>
  <c r="E60" i="843"/>
  <c r="C60" i="843"/>
  <c r="A60" i="843"/>
  <c r="AE59" i="843"/>
  <c r="AC59" i="843"/>
  <c r="AA59" i="843"/>
  <c r="Y59" i="843"/>
  <c r="V59" i="843"/>
  <c r="U59" i="843"/>
  <c r="T59" i="843"/>
  <c r="S59" i="843"/>
  <c r="Q59" i="843"/>
  <c r="P59" i="843"/>
  <c r="O59" i="843"/>
  <c r="N59" i="843"/>
  <c r="K59" i="843"/>
  <c r="I59" i="843"/>
  <c r="G59" i="843"/>
  <c r="E59" i="843"/>
  <c r="C59" i="843"/>
  <c r="A59" i="843"/>
  <c r="AE58" i="843"/>
  <c r="AC58" i="843"/>
  <c r="AA58" i="843"/>
  <c r="Y58" i="843"/>
  <c r="V58" i="843"/>
  <c r="U58" i="843"/>
  <c r="T58" i="843"/>
  <c r="S58" i="843"/>
  <c r="Q58" i="843"/>
  <c r="P58" i="843"/>
  <c r="O58" i="843"/>
  <c r="N58" i="843"/>
  <c r="K58" i="843"/>
  <c r="I58" i="843"/>
  <c r="G58" i="843"/>
  <c r="E58" i="843"/>
  <c r="C58" i="843"/>
  <c r="A58" i="843"/>
  <c r="AE57" i="843"/>
  <c r="AC57" i="843"/>
  <c r="AA57" i="843"/>
  <c r="Y57" i="843"/>
  <c r="V57" i="843"/>
  <c r="U57" i="843"/>
  <c r="T57" i="843"/>
  <c r="S57" i="843"/>
  <c r="Q57" i="843"/>
  <c r="P57" i="843"/>
  <c r="O57" i="843"/>
  <c r="N57" i="843"/>
  <c r="K57" i="843"/>
  <c r="I57" i="843"/>
  <c r="G57" i="843"/>
  <c r="E57" i="843"/>
  <c r="C57" i="843"/>
  <c r="A57" i="843"/>
  <c r="AE56" i="843"/>
  <c r="AC56" i="843"/>
  <c r="AA56" i="843"/>
  <c r="Y56" i="843"/>
  <c r="V56" i="843"/>
  <c r="U56" i="843"/>
  <c r="T56" i="843"/>
  <c r="S56" i="843"/>
  <c r="Q56" i="843"/>
  <c r="P56" i="843"/>
  <c r="O56" i="843"/>
  <c r="N56" i="843"/>
  <c r="K56" i="843"/>
  <c r="I56" i="843"/>
  <c r="G56" i="843"/>
  <c r="E56" i="843"/>
  <c r="J34" i="843"/>
  <c r="Q44" i="258"/>
  <c r="C56" i="843"/>
  <c r="A56" i="843"/>
  <c r="AE55" i="843"/>
  <c r="AC55" i="843"/>
  <c r="AA55" i="843"/>
  <c r="Y55" i="843"/>
  <c r="V55" i="843"/>
  <c r="U55" i="843"/>
  <c r="T55" i="843"/>
  <c r="S55" i="843"/>
  <c r="Q55" i="843"/>
  <c r="P55" i="843"/>
  <c r="O55" i="843"/>
  <c r="N55" i="843"/>
  <c r="K55" i="843"/>
  <c r="I55" i="843"/>
  <c r="G55" i="843"/>
  <c r="E55" i="843"/>
  <c r="C55" i="843"/>
  <c r="A55" i="843"/>
  <c r="AE54" i="843"/>
  <c r="AC54" i="843"/>
  <c r="AA54" i="843"/>
  <c r="AA66" i="843"/>
  <c r="Y54" i="843"/>
  <c r="V54" i="843"/>
  <c r="U54" i="843"/>
  <c r="T54" i="843"/>
  <c r="T66" i="843"/>
  <c r="S54" i="843"/>
  <c r="Q54" i="843"/>
  <c r="P54" i="843"/>
  <c r="O54" i="843"/>
  <c r="N54" i="843"/>
  <c r="K54" i="843"/>
  <c r="I54" i="843"/>
  <c r="G54" i="843"/>
  <c r="J37" i="843"/>
  <c r="S44" i="258"/>
  <c r="E54" i="843"/>
  <c r="C54" i="843"/>
  <c r="A54" i="843"/>
  <c r="T27" i="843"/>
  <c r="AF44" i="258"/>
  <c r="S27" i="843"/>
  <c r="AE44" i="258"/>
  <c r="A19" i="843"/>
  <c r="T20" i="843"/>
  <c r="Y16" i="843"/>
  <c r="X16" i="843"/>
  <c r="AG44" i="258"/>
  <c r="W16" i="843"/>
  <c r="V16" i="843"/>
  <c r="AA44" i="258"/>
  <c r="U16" i="843"/>
  <c r="S16" i="843"/>
  <c r="S20" i="843"/>
  <c r="X44" i="258"/>
  <c r="R16" i="843"/>
  <c r="Q16" i="843"/>
  <c r="P16" i="843"/>
  <c r="O16" i="843"/>
  <c r="N16" i="843"/>
  <c r="M16" i="843"/>
  <c r="L16" i="843"/>
  <c r="K16" i="843"/>
  <c r="J16" i="843"/>
  <c r="I16" i="843"/>
  <c r="H16" i="843"/>
  <c r="F16" i="843"/>
  <c r="E16" i="843"/>
  <c r="C16" i="843"/>
  <c r="H94" i="842"/>
  <c r="F94" i="842"/>
  <c r="D94" i="842"/>
  <c r="B94" i="842"/>
  <c r="K79" i="842"/>
  <c r="I79" i="842"/>
  <c r="E79" i="842"/>
  <c r="C79" i="842"/>
  <c r="A79" i="842"/>
  <c r="K78" i="842"/>
  <c r="I78" i="842"/>
  <c r="E78" i="842"/>
  <c r="C78" i="842"/>
  <c r="A78" i="842"/>
  <c r="K77" i="842"/>
  <c r="I77" i="842"/>
  <c r="E77" i="842"/>
  <c r="C77" i="842"/>
  <c r="A77" i="842"/>
  <c r="K76" i="842"/>
  <c r="I76" i="842"/>
  <c r="E76" i="842"/>
  <c r="C76" i="842"/>
  <c r="A76" i="842"/>
  <c r="K75" i="842"/>
  <c r="I75" i="842"/>
  <c r="E75" i="842"/>
  <c r="C75" i="842"/>
  <c r="A75" i="842"/>
  <c r="K74" i="842"/>
  <c r="I74" i="842"/>
  <c r="E74" i="842"/>
  <c r="C74" i="842"/>
  <c r="A74" i="842"/>
  <c r="K73" i="842"/>
  <c r="I73" i="842"/>
  <c r="E73" i="842"/>
  <c r="C73" i="842"/>
  <c r="A73" i="842"/>
  <c r="K72" i="842"/>
  <c r="I72" i="842"/>
  <c r="E72" i="842"/>
  <c r="C72" i="842"/>
  <c r="A72" i="842"/>
  <c r="K71" i="842"/>
  <c r="I71" i="842"/>
  <c r="E71" i="842"/>
  <c r="C71" i="842"/>
  <c r="A71" i="842"/>
  <c r="K70" i="842"/>
  <c r="I70" i="842"/>
  <c r="E70" i="842"/>
  <c r="C70" i="842"/>
  <c r="A70" i="842"/>
  <c r="K69" i="842"/>
  <c r="I69" i="842"/>
  <c r="E69" i="842"/>
  <c r="C69" i="842"/>
  <c r="A69" i="842"/>
  <c r="K68" i="842"/>
  <c r="I68" i="842"/>
  <c r="E68" i="842"/>
  <c r="C68" i="842"/>
  <c r="A68" i="842"/>
  <c r="AE65" i="842"/>
  <c r="AC65" i="842"/>
  <c r="AA65" i="842"/>
  <c r="Y65" i="842"/>
  <c r="V65" i="842"/>
  <c r="U65" i="842"/>
  <c r="T65" i="842"/>
  <c r="S65" i="842"/>
  <c r="Q65" i="842"/>
  <c r="P65" i="842"/>
  <c r="O65" i="842"/>
  <c r="N65" i="842"/>
  <c r="K65" i="842"/>
  <c r="I65" i="842"/>
  <c r="G65" i="842"/>
  <c r="K37" i="842"/>
  <c r="E65" i="842"/>
  <c r="C65" i="842"/>
  <c r="A65" i="842"/>
  <c r="AE64" i="842"/>
  <c r="AC64" i="842"/>
  <c r="AA64" i="842"/>
  <c r="Y64" i="842"/>
  <c r="V64" i="842"/>
  <c r="U64" i="842"/>
  <c r="T64" i="842"/>
  <c r="S64" i="842"/>
  <c r="Q64" i="842"/>
  <c r="P64" i="842"/>
  <c r="O64" i="842"/>
  <c r="N64" i="842"/>
  <c r="K64" i="842"/>
  <c r="I64" i="842"/>
  <c r="G64" i="842"/>
  <c r="E64" i="842"/>
  <c r="C64" i="842"/>
  <c r="A64" i="842"/>
  <c r="AE63" i="842"/>
  <c r="AC63" i="842"/>
  <c r="AA63" i="842"/>
  <c r="Y63" i="842"/>
  <c r="V63" i="842"/>
  <c r="U63" i="842"/>
  <c r="T63" i="842"/>
  <c r="S63" i="842"/>
  <c r="Q63" i="842"/>
  <c r="P63" i="842"/>
  <c r="O63" i="842"/>
  <c r="N63" i="842"/>
  <c r="K63" i="842"/>
  <c r="I63" i="842"/>
  <c r="G63" i="842"/>
  <c r="E63" i="842"/>
  <c r="C63" i="842"/>
  <c r="A63" i="842"/>
  <c r="AE62" i="842"/>
  <c r="AC62" i="842"/>
  <c r="AA62" i="842"/>
  <c r="Y62" i="842"/>
  <c r="V62" i="842"/>
  <c r="U62" i="842"/>
  <c r="T62" i="842"/>
  <c r="S62" i="842"/>
  <c r="Q62" i="842"/>
  <c r="P62" i="842"/>
  <c r="O62" i="842"/>
  <c r="N62" i="842"/>
  <c r="K62" i="842"/>
  <c r="I62" i="842"/>
  <c r="G62" i="842"/>
  <c r="E62" i="842"/>
  <c r="C62" i="842"/>
  <c r="A62" i="842"/>
  <c r="AE61" i="842"/>
  <c r="AC61" i="842"/>
  <c r="AA61" i="842"/>
  <c r="Y61" i="842"/>
  <c r="V61" i="842"/>
  <c r="U61" i="842"/>
  <c r="T61" i="842"/>
  <c r="S61" i="842"/>
  <c r="Q61" i="842"/>
  <c r="P61" i="842"/>
  <c r="O61" i="842"/>
  <c r="N61" i="842"/>
  <c r="K61" i="842"/>
  <c r="I61" i="842"/>
  <c r="G61" i="842"/>
  <c r="E61" i="842"/>
  <c r="C61" i="842"/>
  <c r="A61" i="842"/>
  <c r="AE60" i="842"/>
  <c r="AC60" i="842"/>
  <c r="AA60" i="842"/>
  <c r="Y60" i="842"/>
  <c r="V60" i="842"/>
  <c r="U60" i="842"/>
  <c r="T60" i="842"/>
  <c r="S60" i="842"/>
  <c r="Q60" i="842"/>
  <c r="P60" i="842"/>
  <c r="O60" i="842"/>
  <c r="N60" i="842"/>
  <c r="K60" i="842"/>
  <c r="I60" i="842"/>
  <c r="G60" i="842"/>
  <c r="E60" i="842"/>
  <c r="C60" i="842"/>
  <c r="A60" i="842"/>
  <c r="AE59" i="842"/>
  <c r="AC59" i="842"/>
  <c r="AA59" i="842"/>
  <c r="Y59" i="842"/>
  <c r="V59" i="842"/>
  <c r="U59" i="842"/>
  <c r="T59" i="842"/>
  <c r="S59" i="842"/>
  <c r="Q59" i="842"/>
  <c r="P59" i="842"/>
  <c r="O59" i="842"/>
  <c r="N59" i="842"/>
  <c r="K59" i="842"/>
  <c r="I59" i="842"/>
  <c r="G59" i="842"/>
  <c r="E59" i="842"/>
  <c r="C59" i="842"/>
  <c r="A59" i="842"/>
  <c r="AE58" i="842"/>
  <c r="AC58" i="842"/>
  <c r="AA58" i="842"/>
  <c r="Y58" i="842"/>
  <c r="V58" i="842"/>
  <c r="U58" i="842"/>
  <c r="T58" i="842"/>
  <c r="S58" i="842"/>
  <c r="Q58" i="842"/>
  <c r="P58" i="842"/>
  <c r="O58" i="842"/>
  <c r="N58" i="842"/>
  <c r="K58" i="842"/>
  <c r="I58" i="842"/>
  <c r="G58" i="842"/>
  <c r="E58" i="842"/>
  <c r="C58" i="842"/>
  <c r="A58" i="842"/>
  <c r="AE57" i="842"/>
  <c r="AC57" i="842"/>
  <c r="AA57" i="842"/>
  <c r="Y57" i="842"/>
  <c r="V57" i="842"/>
  <c r="U57" i="842"/>
  <c r="T57" i="842"/>
  <c r="S57" i="842"/>
  <c r="Q57" i="842"/>
  <c r="P57" i="842"/>
  <c r="O57" i="842"/>
  <c r="N57" i="842"/>
  <c r="K57" i="842"/>
  <c r="I57" i="842"/>
  <c r="G57" i="842"/>
  <c r="E57" i="842"/>
  <c r="C57" i="842"/>
  <c r="A57" i="842"/>
  <c r="AE56" i="842"/>
  <c r="AC56" i="842"/>
  <c r="AA56" i="842"/>
  <c r="Y56" i="842"/>
  <c r="V56" i="842"/>
  <c r="U56" i="842"/>
  <c r="T56" i="842"/>
  <c r="S56" i="842"/>
  <c r="Q56" i="842"/>
  <c r="P56" i="842"/>
  <c r="O56" i="842"/>
  <c r="N56" i="842"/>
  <c r="K56" i="842"/>
  <c r="I56" i="842"/>
  <c r="G56" i="842"/>
  <c r="E56" i="842"/>
  <c r="C56" i="842"/>
  <c r="A56" i="842"/>
  <c r="AE55" i="842"/>
  <c r="AC55" i="842"/>
  <c r="AA55" i="842"/>
  <c r="Y55" i="842"/>
  <c r="V55" i="842"/>
  <c r="U55" i="842"/>
  <c r="T55" i="842"/>
  <c r="S55" i="842"/>
  <c r="Q55" i="842"/>
  <c r="P55" i="842"/>
  <c r="O55" i="842"/>
  <c r="N55" i="842"/>
  <c r="K55" i="842"/>
  <c r="I55" i="842"/>
  <c r="G55" i="842"/>
  <c r="E55" i="842"/>
  <c r="C55" i="842"/>
  <c r="A55" i="842"/>
  <c r="AE54" i="842"/>
  <c r="AC54" i="842"/>
  <c r="AA54" i="842"/>
  <c r="Y54" i="842"/>
  <c r="V54" i="842"/>
  <c r="U54" i="842"/>
  <c r="T54" i="842"/>
  <c r="S54" i="842"/>
  <c r="Q54" i="842"/>
  <c r="P54" i="842"/>
  <c r="P66" i="842"/>
  <c r="O54" i="842"/>
  <c r="N54" i="842"/>
  <c r="K54" i="842"/>
  <c r="I54" i="842"/>
  <c r="G54" i="842"/>
  <c r="E54" i="842"/>
  <c r="C54" i="842"/>
  <c r="A54" i="842"/>
  <c r="J34" i="842"/>
  <c r="Q45" i="258"/>
  <c r="T27" i="842"/>
  <c r="AF45" i="258"/>
  <c r="S27" i="842"/>
  <c r="AE45" i="258"/>
  <c r="N25" i="842"/>
  <c r="A19" i="842"/>
  <c r="T20" i="842"/>
  <c r="Y16" i="842"/>
  <c r="X16" i="842"/>
  <c r="AG45" i="258"/>
  <c r="W16" i="842"/>
  <c r="V16" i="842"/>
  <c r="AA45" i="258"/>
  <c r="U16" i="842"/>
  <c r="S16" i="842"/>
  <c r="S20" i="842"/>
  <c r="X45" i="258"/>
  <c r="R16" i="842"/>
  <c r="Q16" i="842"/>
  <c r="P16" i="842"/>
  <c r="O16" i="842"/>
  <c r="N16" i="842"/>
  <c r="M16" i="842"/>
  <c r="L16" i="842"/>
  <c r="K16" i="842"/>
  <c r="J16" i="842"/>
  <c r="I16" i="842"/>
  <c r="F26" i="842"/>
  <c r="F45" i="257"/>
  <c r="H16" i="842"/>
  <c r="F16" i="842"/>
  <c r="E16" i="842"/>
  <c r="C16" i="842"/>
  <c r="H94" i="841"/>
  <c r="F94" i="841"/>
  <c r="D94" i="841"/>
  <c r="B94" i="841"/>
  <c r="K79" i="841"/>
  <c r="I79" i="841"/>
  <c r="E79" i="841"/>
  <c r="C79" i="841"/>
  <c r="A79" i="841"/>
  <c r="K78" i="841"/>
  <c r="I78" i="841"/>
  <c r="E78" i="841"/>
  <c r="C78" i="841"/>
  <c r="A78" i="841"/>
  <c r="K77" i="841"/>
  <c r="I77" i="841"/>
  <c r="E77" i="841"/>
  <c r="C77" i="841"/>
  <c r="A77" i="841"/>
  <c r="K76" i="841"/>
  <c r="I76" i="841"/>
  <c r="E76" i="841"/>
  <c r="C76" i="841"/>
  <c r="A76" i="841"/>
  <c r="K75" i="841"/>
  <c r="I75" i="841"/>
  <c r="E75" i="841"/>
  <c r="C75" i="841"/>
  <c r="A75" i="841"/>
  <c r="K74" i="841"/>
  <c r="I74" i="841"/>
  <c r="E74" i="841"/>
  <c r="C74" i="841"/>
  <c r="A74" i="841"/>
  <c r="K73" i="841"/>
  <c r="I73" i="841"/>
  <c r="E73" i="841"/>
  <c r="C73" i="841"/>
  <c r="A73" i="841"/>
  <c r="K72" i="841"/>
  <c r="I72" i="841"/>
  <c r="E72" i="841"/>
  <c r="C72" i="841"/>
  <c r="A72" i="841"/>
  <c r="K71" i="841"/>
  <c r="I71" i="841"/>
  <c r="E71" i="841"/>
  <c r="C71" i="841"/>
  <c r="A71" i="841"/>
  <c r="K70" i="841"/>
  <c r="I70" i="841"/>
  <c r="E70" i="841"/>
  <c r="C70" i="841"/>
  <c r="A70" i="841"/>
  <c r="K69" i="841"/>
  <c r="I69" i="841"/>
  <c r="E69" i="841"/>
  <c r="C69" i="841"/>
  <c r="A69" i="841"/>
  <c r="K68" i="841"/>
  <c r="I68" i="841"/>
  <c r="E68" i="841"/>
  <c r="C68" i="841"/>
  <c r="A68" i="841"/>
  <c r="AE65" i="841"/>
  <c r="AC65" i="841"/>
  <c r="AA65" i="841"/>
  <c r="Y65" i="841"/>
  <c r="V65" i="841"/>
  <c r="U65" i="841"/>
  <c r="T65" i="841"/>
  <c r="S65" i="841"/>
  <c r="Q65" i="841"/>
  <c r="P65" i="841"/>
  <c r="O65" i="841"/>
  <c r="N65" i="841"/>
  <c r="K65" i="841"/>
  <c r="I65" i="841"/>
  <c r="G65" i="841"/>
  <c r="E65" i="841"/>
  <c r="C65" i="841"/>
  <c r="A65" i="841"/>
  <c r="AE64" i="841"/>
  <c r="AC64" i="841"/>
  <c r="AA64" i="841"/>
  <c r="Y64" i="841"/>
  <c r="V64" i="841"/>
  <c r="U64" i="841"/>
  <c r="T64" i="841"/>
  <c r="S64" i="841"/>
  <c r="Q64" i="841"/>
  <c r="P64" i="841"/>
  <c r="O64" i="841"/>
  <c r="N64" i="841"/>
  <c r="K64" i="841"/>
  <c r="I64" i="841"/>
  <c r="G64" i="841"/>
  <c r="E64" i="841"/>
  <c r="C64" i="841"/>
  <c r="A64" i="841"/>
  <c r="AE63" i="841"/>
  <c r="AC63" i="841"/>
  <c r="AA63" i="841"/>
  <c r="Y63" i="841"/>
  <c r="V63" i="841"/>
  <c r="U63" i="841"/>
  <c r="T63" i="841"/>
  <c r="S63" i="841"/>
  <c r="Q63" i="841"/>
  <c r="P63" i="841"/>
  <c r="O63" i="841"/>
  <c r="N63" i="841"/>
  <c r="K63" i="841"/>
  <c r="I63" i="841"/>
  <c r="G63" i="841"/>
  <c r="E63" i="841"/>
  <c r="C63" i="841"/>
  <c r="A63" i="841"/>
  <c r="AE62" i="841"/>
  <c r="AC62" i="841"/>
  <c r="AA62" i="841"/>
  <c r="Y62" i="841"/>
  <c r="V62" i="841"/>
  <c r="U62" i="841"/>
  <c r="T62" i="841"/>
  <c r="S62" i="841"/>
  <c r="Q62" i="841"/>
  <c r="P62" i="841"/>
  <c r="O62" i="841"/>
  <c r="N62" i="841"/>
  <c r="K62" i="841"/>
  <c r="I62" i="841"/>
  <c r="G62" i="841"/>
  <c r="E62" i="841"/>
  <c r="C62" i="841"/>
  <c r="A62" i="841"/>
  <c r="AE61" i="841"/>
  <c r="AC61" i="841"/>
  <c r="AA61" i="841"/>
  <c r="Y61" i="841"/>
  <c r="V61" i="841"/>
  <c r="U61" i="841"/>
  <c r="T61" i="841"/>
  <c r="S61" i="841"/>
  <c r="Q61" i="841"/>
  <c r="P61" i="841"/>
  <c r="O61" i="841"/>
  <c r="N61" i="841"/>
  <c r="K61" i="841"/>
  <c r="I61" i="841"/>
  <c r="G61" i="841"/>
  <c r="E61" i="841"/>
  <c r="C61" i="841"/>
  <c r="A61" i="841"/>
  <c r="AE60" i="841"/>
  <c r="AC60" i="841"/>
  <c r="AA60" i="841"/>
  <c r="Y60" i="841"/>
  <c r="V60" i="841"/>
  <c r="U60" i="841"/>
  <c r="T60" i="841"/>
  <c r="S60" i="841"/>
  <c r="Q60" i="841"/>
  <c r="P60" i="841"/>
  <c r="O60" i="841"/>
  <c r="N60" i="841"/>
  <c r="K60" i="841"/>
  <c r="I60" i="841"/>
  <c r="G60" i="841"/>
  <c r="E60" i="841"/>
  <c r="C60" i="841"/>
  <c r="A60" i="841"/>
  <c r="AE59" i="841"/>
  <c r="AC59" i="841"/>
  <c r="AA59" i="841"/>
  <c r="Y59" i="841"/>
  <c r="V59" i="841"/>
  <c r="U59" i="841"/>
  <c r="T59" i="841"/>
  <c r="S59" i="841"/>
  <c r="Q59" i="841"/>
  <c r="P59" i="841"/>
  <c r="O59" i="841"/>
  <c r="N59" i="841"/>
  <c r="K59" i="841"/>
  <c r="I59" i="841"/>
  <c r="G59" i="841"/>
  <c r="E59" i="841"/>
  <c r="C59" i="841"/>
  <c r="A59" i="841"/>
  <c r="AE58" i="841"/>
  <c r="AC58" i="841"/>
  <c r="AA58" i="841"/>
  <c r="Y58" i="841"/>
  <c r="V58" i="841"/>
  <c r="U58" i="841"/>
  <c r="T58" i="841"/>
  <c r="S58" i="841"/>
  <c r="Q58" i="841"/>
  <c r="P58" i="841"/>
  <c r="O58" i="841"/>
  <c r="N58" i="841"/>
  <c r="K58" i="841"/>
  <c r="I58" i="841"/>
  <c r="G58" i="841"/>
  <c r="E58" i="841"/>
  <c r="C58" i="841"/>
  <c r="A58" i="841"/>
  <c r="AE57" i="841"/>
  <c r="AC57" i="841"/>
  <c r="AA57" i="841"/>
  <c r="Y57" i="841"/>
  <c r="V57" i="841"/>
  <c r="U57" i="841"/>
  <c r="T57" i="841"/>
  <c r="S57" i="841"/>
  <c r="Q57" i="841"/>
  <c r="P57" i="841"/>
  <c r="O57" i="841"/>
  <c r="N57" i="841"/>
  <c r="K57" i="841"/>
  <c r="I57" i="841"/>
  <c r="G57" i="841"/>
  <c r="E57" i="841"/>
  <c r="C57" i="841"/>
  <c r="A57" i="841"/>
  <c r="AE56" i="841"/>
  <c r="AC56" i="841"/>
  <c r="AA56" i="841"/>
  <c r="Y56" i="841"/>
  <c r="V56" i="841"/>
  <c r="U56" i="841"/>
  <c r="T56" i="841"/>
  <c r="S56" i="841"/>
  <c r="Q56" i="841"/>
  <c r="P56" i="841"/>
  <c r="O56" i="841"/>
  <c r="N56" i="841"/>
  <c r="K56" i="841"/>
  <c r="I56" i="841"/>
  <c r="G56" i="841"/>
  <c r="E56" i="841"/>
  <c r="C56" i="841"/>
  <c r="A56" i="841"/>
  <c r="J24" i="841"/>
  <c r="K46" i="257"/>
  <c r="AE55" i="841"/>
  <c r="AC55" i="841"/>
  <c r="AA55" i="841"/>
  <c r="Y55" i="841"/>
  <c r="V55" i="841"/>
  <c r="U55" i="841"/>
  <c r="T55" i="841"/>
  <c r="S55" i="841"/>
  <c r="Q55" i="841"/>
  <c r="P55" i="841"/>
  <c r="O55" i="841"/>
  <c r="N55" i="841"/>
  <c r="K55" i="841"/>
  <c r="I55" i="841"/>
  <c r="G55" i="841"/>
  <c r="E55" i="841"/>
  <c r="C55" i="841"/>
  <c r="A55" i="841"/>
  <c r="AE54" i="841"/>
  <c r="AC54" i="841"/>
  <c r="AA54" i="841"/>
  <c r="Y54" i="841"/>
  <c r="Y66" i="841"/>
  <c r="V54" i="841"/>
  <c r="U54" i="841"/>
  <c r="T54" i="841"/>
  <c r="T66" i="841"/>
  <c r="S54" i="841"/>
  <c r="S66" i="841"/>
  <c r="Q54" i="841"/>
  <c r="P54" i="841"/>
  <c r="O54" i="841"/>
  <c r="N54" i="841"/>
  <c r="K54" i="841"/>
  <c r="N25" i="841"/>
  <c r="I54" i="841"/>
  <c r="G54" i="841"/>
  <c r="E54" i="841"/>
  <c r="C54" i="841"/>
  <c r="A54" i="841"/>
  <c r="K37" i="841"/>
  <c r="K34" i="841"/>
  <c r="R46" i="258"/>
  <c r="T27" i="841"/>
  <c r="AF46" i="258"/>
  <c r="S27" i="841"/>
  <c r="AE46" i="258"/>
  <c r="A19" i="841"/>
  <c r="T20" i="841"/>
  <c r="Y16" i="841"/>
  <c r="X16" i="841"/>
  <c r="AG46" i="258"/>
  <c r="W16" i="841"/>
  <c r="V16" i="841"/>
  <c r="AA46" i="258"/>
  <c r="U16" i="841"/>
  <c r="S16" i="841"/>
  <c r="S20" i="841"/>
  <c r="X46" i="258"/>
  <c r="R16" i="841"/>
  <c r="Q16" i="841"/>
  <c r="P16" i="841"/>
  <c r="O16" i="841"/>
  <c r="N16" i="841"/>
  <c r="M16" i="841"/>
  <c r="L16" i="841"/>
  <c r="K16" i="841"/>
  <c r="J16" i="841"/>
  <c r="I16" i="841"/>
  <c r="E46" i="257"/>
  <c r="H16" i="841"/>
  <c r="F16" i="841"/>
  <c r="E16" i="841"/>
  <c r="B46" i="258"/>
  <c r="C16" i="841"/>
  <c r="H94" i="840"/>
  <c r="F94" i="840"/>
  <c r="D94" i="840"/>
  <c r="B94" i="840"/>
  <c r="K79" i="840"/>
  <c r="I79" i="840"/>
  <c r="E79" i="840"/>
  <c r="C79" i="840"/>
  <c r="A79" i="840"/>
  <c r="K78" i="840"/>
  <c r="I78" i="840"/>
  <c r="E78" i="840"/>
  <c r="C78" i="840"/>
  <c r="A78" i="840"/>
  <c r="K77" i="840"/>
  <c r="I77" i="840"/>
  <c r="E77" i="840"/>
  <c r="C77" i="840"/>
  <c r="A77" i="840"/>
  <c r="K76" i="840"/>
  <c r="I76" i="840"/>
  <c r="E76" i="840"/>
  <c r="C76" i="840"/>
  <c r="A76" i="840"/>
  <c r="K75" i="840"/>
  <c r="I75" i="840"/>
  <c r="E75" i="840"/>
  <c r="C75" i="840"/>
  <c r="A75" i="840"/>
  <c r="K74" i="840"/>
  <c r="I74" i="840"/>
  <c r="E74" i="840"/>
  <c r="C74" i="840"/>
  <c r="A74" i="840"/>
  <c r="K73" i="840"/>
  <c r="I73" i="840"/>
  <c r="E73" i="840"/>
  <c r="C73" i="840"/>
  <c r="A73" i="840"/>
  <c r="K72" i="840"/>
  <c r="I72" i="840"/>
  <c r="E72" i="840"/>
  <c r="C72" i="840"/>
  <c r="A72" i="840"/>
  <c r="K71" i="840"/>
  <c r="I71" i="840"/>
  <c r="E71" i="840"/>
  <c r="C71" i="840"/>
  <c r="A71" i="840"/>
  <c r="K70" i="840"/>
  <c r="I70" i="840"/>
  <c r="E70" i="840"/>
  <c r="C70" i="840"/>
  <c r="A70" i="840"/>
  <c r="K69" i="840"/>
  <c r="I69" i="840"/>
  <c r="E69" i="840"/>
  <c r="C69" i="840"/>
  <c r="A69" i="840"/>
  <c r="K68" i="840"/>
  <c r="I68" i="840"/>
  <c r="E68" i="840"/>
  <c r="C68" i="840"/>
  <c r="A68" i="840"/>
  <c r="AE65" i="840"/>
  <c r="AC65" i="840"/>
  <c r="AA65" i="840"/>
  <c r="Y65" i="840"/>
  <c r="V65" i="840"/>
  <c r="U65" i="840"/>
  <c r="T65" i="840"/>
  <c r="S65" i="840"/>
  <c r="Q65" i="840"/>
  <c r="P65" i="840"/>
  <c r="O65" i="840"/>
  <c r="N65" i="840"/>
  <c r="K65" i="840"/>
  <c r="I65" i="840"/>
  <c r="G65" i="840"/>
  <c r="E65" i="840"/>
  <c r="C65" i="840"/>
  <c r="A65" i="840"/>
  <c r="AE64" i="840"/>
  <c r="AC64" i="840"/>
  <c r="AA64" i="840"/>
  <c r="Y64" i="840"/>
  <c r="V64" i="840"/>
  <c r="U64" i="840"/>
  <c r="T64" i="840"/>
  <c r="S64" i="840"/>
  <c r="Q64" i="840"/>
  <c r="P64" i="840"/>
  <c r="O64" i="840"/>
  <c r="N64" i="840"/>
  <c r="K64" i="840"/>
  <c r="I64" i="840"/>
  <c r="G64" i="840"/>
  <c r="E64" i="840"/>
  <c r="C64" i="840"/>
  <c r="A64" i="840"/>
  <c r="AE63" i="840"/>
  <c r="AC63" i="840"/>
  <c r="AA63" i="840"/>
  <c r="Y63" i="840"/>
  <c r="V63" i="840"/>
  <c r="U63" i="840"/>
  <c r="T63" i="840"/>
  <c r="S63" i="840"/>
  <c r="Q63" i="840"/>
  <c r="P63" i="840"/>
  <c r="O63" i="840"/>
  <c r="N63" i="840"/>
  <c r="K63" i="840"/>
  <c r="I63" i="840"/>
  <c r="G63" i="840"/>
  <c r="E63" i="840"/>
  <c r="C63" i="840"/>
  <c r="A63" i="840"/>
  <c r="AE62" i="840"/>
  <c r="AC62" i="840"/>
  <c r="AA62" i="840"/>
  <c r="Y62" i="840"/>
  <c r="V62" i="840"/>
  <c r="U62" i="840"/>
  <c r="T62" i="840"/>
  <c r="S62" i="840"/>
  <c r="Q62" i="840"/>
  <c r="P62" i="840"/>
  <c r="O62" i="840"/>
  <c r="N62" i="840"/>
  <c r="K62" i="840"/>
  <c r="I62" i="840"/>
  <c r="G62" i="840"/>
  <c r="E62" i="840"/>
  <c r="C62" i="840"/>
  <c r="A62" i="840"/>
  <c r="AE61" i="840"/>
  <c r="AC61" i="840"/>
  <c r="AA61" i="840"/>
  <c r="Y61" i="840"/>
  <c r="V61" i="840"/>
  <c r="U61" i="840"/>
  <c r="T61" i="840"/>
  <c r="S61" i="840"/>
  <c r="Q61" i="840"/>
  <c r="P61" i="840"/>
  <c r="O61" i="840"/>
  <c r="N61" i="840"/>
  <c r="K61" i="840"/>
  <c r="I61" i="840"/>
  <c r="G61" i="840"/>
  <c r="E61" i="840"/>
  <c r="C61" i="840"/>
  <c r="A61" i="840"/>
  <c r="AE60" i="840"/>
  <c r="AC60" i="840"/>
  <c r="AA60" i="840"/>
  <c r="Y60" i="840"/>
  <c r="V60" i="840"/>
  <c r="U60" i="840"/>
  <c r="T60" i="840"/>
  <c r="S60" i="840"/>
  <c r="Q60" i="840"/>
  <c r="P60" i="840"/>
  <c r="O60" i="840"/>
  <c r="N60" i="840"/>
  <c r="K60" i="840"/>
  <c r="I60" i="840"/>
  <c r="G60" i="840"/>
  <c r="E60" i="840"/>
  <c r="C60" i="840"/>
  <c r="A60" i="840"/>
  <c r="AE59" i="840"/>
  <c r="AC59" i="840"/>
  <c r="AA59" i="840"/>
  <c r="Y59" i="840"/>
  <c r="V59" i="840"/>
  <c r="U59" i="840"/>
  <c r="T59" i="840"/>
  <c r="S59" i="840"/>
  <c r="Q59" i="840"/>
  <c r="P59" i="840"/>
  <c r="O59" i="840"/>
  <c r="N59" i="840"/>
  <c r="K59" i="840"/>
  <c r="I59" i="840"/>
  <c r="G59" i="840"/>
  <c r="E59" i="840"/>
  <c r="C59" i="840"/>
  <c r="A59" i="840"/>
  <c r="AE58" i="840"/>
  <c r="AC58" i="840"/>
  <c r="AA58" i="840"/>
  <c r="Y58" i="840"/>
  <c r="V58" i="840"/>
  <c r="U58" i="840"/>
  <c r="T58" i="840"/>
  <c r="S58" i="840"/>
  <c r="Q58" i="840"/>
  <c r="P58" i="840"/>
  <c r="O58" i="840"/>
  <c r="N58" i="840"/>
  <c r="K58" i="840"/>
  <c r="I58" i="840"/>
  <c r="G58" i="840"/>
  <c r="E58" i="840"/>
  <c r="C58" i="840"/>
  <c r="A58" i="840"/>
  <c r="AE57" i="840"/>
  <c r="AC57" i="840"/>
  <c r="AA57" i="840"/>
  <c r="Y57" i="840"/>
  <c r="V57" i="840"/>
  <c r="U57" i="840"/>
  <c r="T57" i="840"/>
  <c r="S57" i="840"/>
  <c r="Q57" i="840"/>
  <c r="P57" i="840"/>
  <c r="O57" i="840"/>
  <c r="N57" i="840"/>
  <c r="K57" i="840"/>
  <c r="I57" i="840"/>
  <c r="G57" i="840"/>
  <c r="E57" i="840"/>
  <c r="C57" i="840"/>
  <c r="A57" i="840"/>
  <c r="AE56" i="840"/>
  <c r="AC56" i="840"/>
  <c r="AA56" i="840"/>
  <c r="Y56" i="840"/>
  <c r="V56" i="840"/>
  <c r="U56" i="840"/>
  <c r="T56" i="840"/>
  <c r="S56" i="840"/>
  <c r="Q56" i="840"/>
  <c r="P56" i="840"/>
  <c r="O56" i="840"/>
  <c r="N56" i="840"/>
  <c r="K56" i="840"/>
  <c r="I56" i="840"/>
  <c r="G56" i="840"/>
  <c r="E56" i="840"/>
  <c r="J34" i="840"/>
  <c r="U47" i="257"/>
  <c r="C56" i="840"/>
  <c r="A56" i="840"/>
  <c r="J24" i="840"/>
  <c r="K47" i="257"/>
  <c r="AE55" i="840"/>
  <c r="AC55" i="840"/>
  <c r="AA55" i="840"/>
  <c r="Y55" i="840"/>
  <c r="V55" i="840"/>
  <c r="U55" i="840"/>
  <c r="T55" i="840"/>
  <c r="S55" i="840"/>
  <c r="Q55" i="840"/>
  <c r="P55" i="840"/>
  <c r="O55" i="840"/>
  <c r="N55" i="840"/>
  <c r="K55" i="840"/>
  <c r="I55" i="840"/>
  <c r="G55" i="840"/>
  <c r="E55" i="840"/>
  <c r="C55" i="840"/>
  <c r="J29" i="840"/>
  <c r="P47" i="257"/>
  <c r="A55" i="840"/>
  <c r="AE54" i="840"/>
  <c r="AC54" i="840"/>
  <c r="AC66" i="840"/>
  <c r="AA54" i="840"/>
  <c r="Y54" i="840"/>
  <c r="V54" i="840"/>
  <c r="U54" i="840"/>
  <c r="U66" i="840"/>
  <c r="T54" i="840"/>
  <c r="T66" i="840"/>
  <c r="S54" i="840"/>
  <c r="S66" i="840"/>
  <c r="Q54" i="840"/>
  <c r="P54" i="840"/>
  <c r="P66" i="840"/>
  <c r="O54" i="840"/>
  <c r="N54" i="840"/>
  <c r="N66" i="840"/>
  <c r="K54" i="840"/>
  <c r="N25" i="840"/>
  <c r="I54" i="840"/>
  <c r="G54" i="840"/>
  <c r="E54" i="840"/>
  <c r="C54" i="840"/>
  <c r="A54" i="840"/>
  <c r="I24" i="840"/>
  <c r="J47" i="257"/>
  <c r="T27" i="840"/>
  <c r="AF47" i="258"/>
  <c r="S27" i="840"/>
  <c r="AE47" i="258"/>
  <c r="P22" i="840"/>
  <c r="O22" i="840"/>
  <c r="A19" i="840"/>
  <c r="T20" i="840"/>
  <c r="Y16" i="840"/>
  <c r="X16" i="840"/>
  <c r="AG47" i="258"/>
  <c r="W16" i="840"/>
  <c r="V16" i="840"/>
  <c r="U16" i="840"/>
  <c r="S16" i="840"/>
  <c r="S20" i="840"/>
  <c r="X47" i="258"/>
  <c r="R16" i="840"/>
  <c r="Q16" i="840"/>
  <c r="P16" i="840"/>
  <c r="O16" i="840"/>
  <c r="N16" i="840"/>
  <c r="M16" i="840"/>
  <c r="L16" i="840"/>
  <c r="K16" i="840"/>
  <c r="J16" i="840"/>
  <c r="I16" i="840"/>
  <c r="H16" i="840"/>
  <c r="F16" i="840"/>
  <c r="E16" i="840"/>
  <c r="C16" i="840"/>
  <c r="H94" i="839"/>
  <c r="F94" i="839"/>
  <c r="D94" i="839"/>
  <c r="B94" i="839"/>
  <c r="K79" i="839"/>
  <c r="I79" i="839"/>
  <c r="E79" i="839"/>
  <c r="C79" i="839"/>
  <c r="A79" i="839"/>
  <c r="K78" i="839"/>
  <c r="I78" i="839"/>
  <c r="E78" i="839"/>
  <c r="C78" i="839"/>
  <c r="A78" i="839"/>
  <c r="K77" i="839"/>
  <c r="I77" i="839"/>
  <c r="E77" i="839"/>
  <c r="C77" i="839"/>
  <c r="A77" i="839"/>
  <c r="K76" i="839"/>
  <c r="I76" i="839"/>
  <c r="E76" i="839"/>
  <c r="C76" i="839"/>
  <c r="A76" i="839"/>
  <c r="K75" i="839"/>
  <c r="I75" i="839"/>
  <c r="E75" i="839"/>
  <c r="C75" i="839"/>
  <c r="A75" i="839"/>
  <c r="K74" i="839"/>
  <c r="I74" i="839"/>
  <c r="E74" i="839"/>
  <c r="C74" i="839"/>
  <c r="A74" i="839"/>
  <c r="K73" i="839"/>
  <c r="I73" i="839"/>
  <c r="E73" i="839"/>
  <c r="C73" i="839"/>
  <c r="A73" i="839"/>
  <c r="K72" i="839"/>
  <c r="I72" i="839"/>
  <c r="E72" i="839"/>
  <c r="C72" i="839"/>
  <c r="A72" i="839"/>
  <c r="K71" i="839"/>
  <c r="I71" i="839"/>
  <c r="E71" i="839"/>
  <c r="C71" i="839"/>
  <c r="A71" i="839"/>
  <c r="K70" i="839"/>
  <c r="I70" i="839"/>
  <c r="E70" i="839"/>
  <c r="C70" i="839"/>
  <c r="A70" i="839"/>
  <c r="K69" i="839"/>
  <c r="I69" i="839"/>
  <c r="E69" i="839"/>
  <c r="C69" i="839"/>
  <c r="A69" i="839"/>
  <c r="K68" i="839"/>
  <c r="I68" i="839"/>
  <c r="E68" i="839"/>
  <c r="C68" i="839"/>
  <c r="A68" i="839"/>
  <c r="AE65" i="839"/>
  <c r="AC65" i="839"/>
  <c r="AA65" i="839"/>
  <c r="Y65" i="839"/>
  <c r="V65" i="839"/>
  <c r="U65" i="839"/>
  <c r="T65" i="839"/>
  <c r="S65" i="839"/>
  <c r="Q65" i="839"/>
  <c r="P65" i="839"/>
  <c r="O65" i="839"/>
  <c r="N65" i="839"/>
  <c r="K65" i="839"/>
  <c r="I65" i="839"/>
  <c r="G65" i="839"/>
  <c r="E65" i="839"/>
  <c r="C65" i="839"/>
  <c r="A65" i="839"/>
  <c r="AE64" i="839"/>
  <c r="AC64" i="839"/>
  <c r="AA64" i="839"/>
  <c r="Y64" i="839"/>
  <c r="V64" i="839"/>
  <c r="U64" i="839"/>
  <c r="T64" i="839"/>
  <c r="S64" i="839"/>
  <c r="Q64" i="839"/>
  <c r="P64" i="839"/>
  <c r="O64" i="839"/>
  <c r="N64" i="839"/>
  <c r="K64" i="839"/>
  <c r="I64" i="839"/>
  <c r="G64" i="839"/>
  <c r="E64" i="839"/>
  <c r="C64" i="839"/>
  <c r="A64" i="839"/>
  <c r="AE63" i="839"/>
  <c r="AC63" i="839"/>
  <c r="AA63" i="839"/>
  <c r="Y63" i="839"/>
  <c r="V63" i="839"/>
  <c r="U63" i="839"/>
  <c r="T63" i="839"/>
  <c r="S63" i="839"/>
  <c r="Q63" i="839"/>
  <c r="P63" i="839"/>
  <c r="O63" i="839"/>
  <c r="N63" i="839"/>
  <c r="K63" i="839"/>
  <c r="I63" i="839"/>
  <c r="G63" i="839"/>
  <c r="E63" i="839"/>
  <c r="C63" i="839"/>
  <c r="A63" i="839"/>
  <c r="AE62" i="839"/>
  <c r="AC62" i="839"/>
  <c r="AA62" i="839"/>
  <c r="Y62" i="839"/>
  <c r="V62" i="839"/>
  <c r="U62" i="839"/>
  <c r="T62" i="839"/>
  <c r="S62" i="839"/>
  <c r="Q62" i="839"/>
  <c r="P62" i="839"/>
  <c r="O62" i="839"/>
  <c r="N62" i="839"/>
  <c r="K62" i="839"/>
  <c r="I62" i="839"/>
  <c r="G62" i="839"/>
  <c r="E62" i="839"/>
  <c r="C62" i="839"/>
  <c r="A62" i="839"/>
  <c r="AE61" i="839"/>
  <c r="AC61" i="839"/>
  <c r="AA61" i="839"/>
  <c r="Y61" i="839"/>
  <c r="V61" i="839"/>
  <c r="U61" i="839"/>
  <c r="T61" i="839"/>
  <c r="S61" i="839"/>
  <c r="Q61" i="839"/>
  <c r="P61" i="839"/>
  <c r="O61" i="839"/>
  <c r="N61" i="839"/>
  <c r="K61" i="839"/>
  <c r="I61" i="839"/>
  <c r="G61" i="839"/>
  <c r="K37" i="839"/>
  <c r="E61" i="839"/>
  <c r="C61" i="839"/>
  <c r="A61" i="839"/>
  <c r="AE60" i="839"/>
  <c r="AC60" i="839"/>
  <c r="AA60" i="839"/>
  <c r="Y60" i="839"/>
  <c r="V60" i="839"/>
  <c r="U60" i="839"/>
  <c r="T60" i="839"/>
  <c r="S60" i="839"/>
  <c r="Q60" i="839"/>
  <c r="P60" i="839"/>
  <c r="O60" i="839"/>
  <c r="N60" i="839"/>
  <c r="K60" i="839"/>
  <c r="I60" i="839"/>
  <c r="G60" i="839"/>
  <c r="E60" i="839"/>
  <c r="C60" i="839"/>
  <c r="A60" i="839"/>
  <c r="AE59" i="839"/>
  <c r="AC59" i="839"/>
  <c r="AA59" i="839"/>
  <c r="Y59" i="839"/>
  <c r="V59" i="839"/>
  <c r="U59" i="839"/>
  <c r="T59" i="839"/>
  <c r="S59" i="839"/>
  <c r="Q59" i="839"/>
  <c r="P59" i="839"/>
  <c r="O59" i="839"/>
  <c r="N59" i="839"/>
  <c r="K59" i="839"/>
  <c r="I59" i="839"/>
  <c r="G59" i="839"/>
  <c r="E59" i="839"/>
  <c r="C59" i="839"/>
  <c r="A59" i="839"/>
  <c r="AE58" i="839"/>
  <c r="AC58" i="839"/>
  <c r="AA58" i="839"/>
  <c r="Y58" i="839"/>
  <c r="V58" i="839"/>
  <c r="U58" i="839"/>
  <c r="T58" i="839"/>
  <c r="S58" i="839"/>
  <c r="Q58" i="839"/>
  <c r="P58" i="839"/>
  <c r="O58" i="839"/>
  <c r="N58" i="839"/>
  <c r="K58" i="839"/>
  <c r="I58" i="839"/>
  <c r="G58" i="839"/>
  <c r="E58" i="839"/>
  <c r="C58" i="839"/>
  <c r="A58" i="839"/>
  <c r="AE57" i="839"/>
  <c r="AC57" i="839"/>
  <c r="AA57" i="839"/>
  <c r="Y57" i="839"/>
  <c r="V57" i="839"/>
  <c r="U57" i="839"/>
  <c r="T57" i="839"/>
  <c r="S57" i="839"/>
  <c r="Q57" i="839"/>
  <c r="P57" i="839"/>
  <c r="O57" i="839"/>
  <c r="N57" i="839"/>
  <c r="K57" i="839"/>
  <c r="I57" i="839"/>
  <c r="G57" i="839"/>
  <c r="E57" i="839"/>
  <c r="C57" i="839"/>
  <c r="A57" i="839"/>
  <c r="AE56" i="839"/>
  <c r="AC56" i="839"/>
  <c r="AA56" i="839"/>
  <c r="Y56" i="839"/>
  <c r="V56" i="839"/>
  <c r="U56" i="839"/>
  <c r="T56" i="839"/>
  <c r="S56" i="839"/>
  <c r="Q56" i="839"/>
  <c r="P56" i="839"/>
  <c r="O56" i="839"/>
  <c r="N56" i="839"/>
  <c r="K56" i="839"/>
  <c r="I56" i="839"/>
  <c r="G56" i="839"/>
  <c r="E56" i="839"/>
  <c r="C56" i="839"/>
  <c r="A56" i="839"/>
  <c r="AE55" i="839"/>
  <c r="AC55" i="839"/>
  <c r="AA55" i="839"/>
  <c r="Y55" i="839"/>
  <c r="V55" i="839"/>
  <c r="U55" i="839"/>
  <c r="T55" i="839"/>
  <c r="S55" i="839"/>
  <c r="Q55" i="839"/>
  <c r="P55" i="839"/>
  <c r="O55" i="839"/>
  <c r="N55" i="839"/>
  <c r="K55" i="839"/>
  <c r="I55" i="839"/>
  <c r="Q22" i="839"/>
  <c r="G55" i="839"/>
  <c r="E55" i="839"/>
  <c r="C55" i="839"/>
  <c r="J29" i="839"/>
  <c r="M49" i="258"/>
  <c r="A55" i="839"/>
  <c r="AE54" i="839"/>
  <c r="AC54" i="839"/>
  <c r="AA54" i="839"/>
  <c r="Y54" i="839"/>
  <c r="V54" i="839"/>
  <c r="U54" i="839"/>
  <c r="T54" i="839"/>
  <c r="S54" i="839"/>
  <c r="Q54" i="839"/>
  <c r="P54" i="839"/>
  <c r="O54" i="839"/>
  <c r="N54" i="839"/>
  <c r="K54" i="839"/>
  <c r="Q25" i="839"/>
  <c r="I54" i="839"/>
  <c r="G54" i="839"/>
  <c r="E54" i="839"/>
  <c r="I34" i="839"/>
  <c r="T49" i="257"/>
  <c r="C54" i="839"/>
  <c r="A54" i="839"/>
  <c r="K34" i="839"/>
  <c r="V49" i="257"/>
  <c r="T27" i="839"/>
  <c r="AF49" i="258"/>
  <c r="S27" i="839"/>
  <c r="AE49" i="258"/>
  <c r="A19" i="839"/>
  <c r="T20" i="839"/>
  <c r="Y16" i="839"/>
  <c r="X16" i="839"/>
  <c r="AG49" i="258"/>
  <c r="W16" i="839"/>
  <c r="V16" i="839"/>
  <c r="U16" i="839"/>
  <c r="S16" i="839"/>
  <c r="S20" i="839"/>
  <c r="X49" i="258"/>
  <c r="R16" i="839"/>
  <c r="Q16" i="839"/>
  <c r="P16" i="839"/>
  <c r="O16" i="839"/>
  <c r="N16" i="839"/>
  <c r="M16" i="839"/>
  <c r="L16" i="839"/>
  <c r="K16" i="839"/>
  <c r="J16" i="839"/>
  <c r="I16" i="839"/>
  <c r="H16" i="839"/>
  <c r="E49" i="257"/>
  <c r="F16" i="839"/>
  <c r="E16" i="839"/>
  <c r="C16" i="839"/>
  <c r="H94" i="838"/>
  <c r="F94" i="838"/>
  <c r="D94" i="838"/>
  <c r="B94" i="838"/>
  <c r="K79" i="838"/>
  <c r="I79" i="838"/>
  <c r="E79" i="838"/>
  <c r="C79" i="838"/>
  <c r="A79" i="838"/>
  <c r="K78" i="838"/>
  <c r="I78" i="838"/>
  <c r="E78" i="838"/>
  <c r="C78" i="838"/>
  <c r="A78" i="838"/>
  <c r="K77" i="838"/>
  <c r="I77" i="838"/>
  <c r="E77" i="838"/>
  <c r="C77" i="838"/>
  <c r="A77" i="838"/>
  <c r="K76" i="838"/>
  <c r="I76" i="838"/>
  <c r="E76" i="838"/>
  <c r="C76" i="838"/>
  <c r="A76" i="838"/>
  <c r="K75" i="838"/>
  <c r="I75" i="838"/>
  <c r="E75" i="838"/>
  <c r="C75" i="838"/>
  <c r="A75" i="838"/>
  <c r="K74" i="838"/>
  <c r="I74" i="838"/>
  <c r="E74" i="838"/>
  <c r="C74" i="838"/>
  <c r="A74" i="838"/>
  <c r="K73" i="838"/>
  <c r="I73" i="838"/>
  <c r="E73" i="838"/>
  <c r="C73" i="838"/>
  <c r="A73" i="838"/>
  <c r="K72" i="838"/>
  <c r="I72" i="838"/>
  <c r="E72" i="838"/>
  <c r="C72" i="838"/>
  <c r="A72" i="838"/>
  <c r="K71" i="838"/>
  <c r="I71" i="838"/>
  <c r="E71" i="838"/>
  <c r="C71" i="838"/>
  <c r="A71" i="838"/>
  <c r="K70" i="838"/>
  <c r="I70" i="838"/>
  <c r="E70" i="838"/>
  <c r="C70" i="838"/>
  <c r="A70" i="838"/>
  <c r="K69" i="838"/>
  <c r="I69" i="838"/>
  <c r="E69" i="838"/>
  <c r="C69" i="838"/>
  <c r="A69" i="838"/>
  <c r="K68" i="838"/>
  <c r="I68" i="838"/>
  <c r="E68" i="838"/>
  <c r="C68" i="838"/>
  <c r="A68" i="838"/>
  <c r="AE65" i="838"/>
  <c r="AC65" i="838"/>
  <c r="AA65" i="838"/>
  <c r="Y65" i="838"/>
  <c r="V65" i="838"/>
  <c r="U65" i="838"/>
  <c r="T65" i="838"/>
  <c r="S65" i="838"/>
  <c r="Q65" i="838"/>
  <c r="P65" i="838"/>
  <c r="O65" i="838"/>
  <c r="N65" i="838"/>
  <c r="K65" i="838"/>
  <c r="I65" i="838"/>
  <c r="G65" i="838"/>
  <c r="E65" i="838"/>
  <c r="C65" i="838"/>
  <c r="A65" i="838"/>
  <c r="AE64" i="838"/>
  <c r="AC64" i="838"/>
  <c r="AA64" i="838"/>
  <c r="Y64" i="838"/>
  <c r="V64" i="838"/>
  <c r="U64" i="838"/>
  <c r="T64" i="838"/>
  <c r="S64" i="838"/>
  <c r="Q64" i="838"/>
  <c r="P64" i="838"/>
  <c r="O64" i="838"/>
  <c r="N64" i="838"/>
  <c r="K64" i="838"/>
  <c r="I64" i="838"/>
  <c r="G64" i="838"/>
  <c r="E64" i="838"/>
  <c r="C64" i="838"/>
  <c r="A64" i="838"/>
  <c r="AE63" i="838"/>
  <c r="AC63" i="838"/>
  <c r="AA63" i="838"/>
  <c r="Y63" i="838"/>
  <c r="V63" i="838"/>
  <c r="U63" i="838"/>
  <c r="T63" i="838"/>
  <c r="S63" i="838"/>
  <c r="Q63" i="838"/>
  <c r="P63" i="838"/>
  <c r="O63" i="838"/>
  <c r="N63" i="838"/>
  <c r="K63" i="838"/>
  <c r="I63" i="838"/>
  <c r="G63" i="838"/>
  <c r="E63" i="838"/>
  <c r="C63" i="838"/>
  <c r="A63" i="838"/>
  <c r="AE62" i="838"/>
  <c r="AC62" i="838"/>
  <c r="AA62" i="838"/>
  <c r="Y62" i="838"/>
  <c r="V62" i="838"/>
  <c r="U62" i="838"/>
  <c r="T62" i="838"/>
  <c r="S62" i="838"/>
  <c r="Q62" i="838"/>
  <c r="P62" i="838"/>
  <c r="O62" i="838"/>
  <c r="N62" i="838"/>
  <c r="K62" i="838"/>
  <c r="I62" i="838"/>
  <c r="G62" i="838"/>
  <c r="E62" i="838"/>
  <c r="C62" i="838"/>
  <c r="A62" i="838"/>
  <c r="AE61" i="838"/>
  <c r="AC61" i="838"/>
  <c r="AA61" i="838"/>
  <c r="Y61" i="838"/>
  <c r="V61" i="838"/>
  <c r="U61" i="838"/>
  <c r="T61" i="838"/>
  <c r="S61" i="838"/>
  <c r="Q61" i="838"/>
  <c r="P61" i="838"/>
  <c r="O61" i="838"/>
  <c r="N61" i="838"/>
  <c r="K61" i="838"/>
  <c r="I61" i="838"/>
  <c r="G61" i="838"/>
  <c r="E61" i="838"/>
  <c r="C61" i="838"/>
  <c r="A61" i="838"/>
  <c r="AE60" i="838"/>
  <c r="AC60" i="838"/>
  <c r="AA60" i="838"/>
  <c r="Y60" i="838"/>
  <c r="V60" i="838"/>
  <c r="U60" i="838"/>
  <c r="T60" i="838"/>
  <c r="S60" i="838"/>
  <c r="Q60" i="838"/>
  <c r="P60" i="838"/>
  <c r="O60" i="838"/>
  <c r="N60" i="838"/>
  <c r="K60" i="838"/>
  <c r="I60" i="838"/>
  <c r="G60" i="838"/>
  <c r="E60" i="838"/>
  <c r="C60" i="838"/>
  <c r="A60" i="838"/>
  <c r="AE59" i="838"/>
  <c r="AC59" i="838"/>
  <c r="AA59" i="838"/>
  <c r="Y59" i="838"/>
  <c r="V59" i="838"/>
  <c r="U59" i="838"/>
  <c r="T59" i="838"/>
  <c r="S59" i="838"/>
  <c r="Q59" i="838"/>
  <c r="P59" i="838"/>
  <c r="O59" i="838"/>
  <c r="N59" i="838"/>
  <c r="K59" i="838"/>
  <c r="I59" i="838"/>
  <c r="G59" i="838"/>
  <c r="E59" i="838"/>
  <c r="C59" i="838"/>
  <c r="A59" i="838"/>
  <c r="AE58" i="838"/>
  <c r="AC58" i="838"/>
  <c r="AA58" i="838"/>
  <c r="Y58" i="838"/>
  <c r="V58" i="838"/>
  <c r="U58" i="838"/>
  <c r="T58" i="838"/>
  <c r="S58" i="838"/>
  <c r="Q58" i="838"/>
  <c r="P58" i="838"/>
  <c r="O58" i="838"/>
  <c r="N58" i="838"/>
  <c r="K58" i="838"/>
  <c r="I58" i="838"/>
  <c r="G58" i="838"/>
  <c r="E58" i="838"/>
  <c r="C58" i="838"/>
  <c r="A58" i="838"/>
  <c r="AE57" i="838"/>
  <c r="AC57" i="838"/>
  <c r="AA57" i="838"/>
  <c r="Y57" i="838"/>
  <c r="V57" i="838"/>
  <c r="U57" i="838"/>
  <c r="T57" i="838"/>
  <c r="S57" i="838"/>
  <c r="Q57" i="838"/>
  <c r="P57" i="838"/>
  <c r="O57" i="838"/>
  <c r="N57" i="838"/>
  <c r="K57" i="838"/>
  <c r="N25" i="838"/>
  <c r="I57" i="838"/>
  <c r="G57" i="838"/>
  <c r="E57" i="838"/>
  <c r="C57" i="838"/>
  <c r="A57" i="838"/>
  <c r="AE56" i="838"/>
  <c r="AC56" i="838"/>
  <c r="AA56" i="838"/>
  <c r="Y56" i="838"/>
  <c r="V56" i="838"/>
  <c r="U56" i="838"/>
  <c r="T56" i="838"/>
  <c r="S56" i="838"/>
  <c r="Q56" i="838"/>
  <c r="P56" i="838"/>
  <c r="O56" i="838"/>
  <c r="N56" i="838"/>
  <c r="K56" i="838"/>
  <c r="I56" i="838"/>
  <c r="G56" i="838"/>
  <c r="E56" i="838"/>
  <c r="C56" i="838"/>
  <c r="A56" i="838"/>
  <c r="K24" i="838"/>
  <c r="I50" i="258"/>
  <c r="AE55" i="838"/>
  <c r="AC55" i="838"/>
  <c r="AA55" i="838"/>
  <c r="Y55" i="838"/>
  <c r="V55" i="838"/>
  <c r="U55" i="838"/>
  <c r="T55" i="838"/>
  <c r="S55" i="838"/>
  <c r="Q55" i="838"/>
  <c r="P55" i="838"/>
  <c r="O55" i="838"/>
  <c r="N55" i="838"/>
  <c r="K55" i="838"/>
  <c r="I55" i="838"/>
  <c r="G55" i="838"/>
  <c r="E55" i="838"/>
  <c r="J34" i="838"/>
  <c r="Q50" i="258"/>
  <c r="C55" i="838"/>
  <c r="A55" i="838"/>
  <c r="AE54" i="838"/>
  <c r="AC54" i="838"/>
  <c r="AC66" i="838"/>
  <c r="AA54" i="838"/>
  <c r="AA66" i="838"/>
  <c r="Y54" i="838"/>
  <c r="V54" i="838"/>
  <c r="U54" i="838"/>
  <c r="T54" i="838"/>
  <c r="T66" i="838"/>
  <c r="S54" i="838"/>
  <c r="Q54" i="838"/>
  <c r="P54" i="838"/>
  <c r="O54" i="838"/>
  <c r="N54" i="838"/>
  <c r="K54" i="838"/>
  <c r="I54" i="838"/>
  <c r="N22" i="838"/>
  <c r="G54" i="838"/>
  <c r="E54" i="838"/>
  <c r="C54" i="838"/>
  <c r="A54" i="838"/>
  <c r="I24" i="838"/>
  <c r="G50" i="258"/>
  <c r="K37" i="838"/>
  <c r="T27" i="838"/>
  <c r="AF50" i="258"/>
  <c r="S27" i="838"/>
  <c r="AE50" i="258"/>
  <c r="A19" i="838"/>
  <c r="T20" i="838"/>
  <c r="Y16" i="838"/>
  <c r="X16" i="838"/>
  <c r="AG50" i="258"/>
  <c r="W16" i="838"/>
  <c r="V16" i="838"/>
  <c r="AA50" i="258"/>
  <c r="U16" i="838"/>
  <c r="S16" i="838"/>
  <c r="S20" i="838"/>
  <c r="X50" i="258"/>
  <c r="R16" i="838"/>
  <c r="Q16" i="838"/>
  <c r="P16" i="838"/>
  <c r="O16" i="838"/>
  <c r="N16" i="838"/>
  <c r="M16" i="838"/>
  <c r="L16" i="838"/>
  <c r="K16" i="838"/>
  <c r="J16" i="838"/>
  <c r="I16" i="838"/>
  <c r="E50" i="257"/>
  <c r="H16" i="838"/>
  <c r="F16" i="838"/>
  <c r="E16" i="838"/>
  <c r="B50" i="258"/>
  <c r="C16" i="838"/>
  <c r="H94" i="837"/>
  <c r="F94" i="837"/>
  <c r="D94" i="837"/>
  <c r="B94" i="837"/>
  <c r="K79" i="837"/>
  <c r="I79" i="837"/>
  <c r="E79" i="837"/>
  <c r="C79" i="837"/>
  <c r="A79" i="837"/>
  <c r="K78" i="837"/>
  <c r="I78" i="837"/>
  <c r="E78" i="837"/>
  <c r="C78" i="837"/>
  <c r="A78" i="837"/>
  <c r="K77" i="837"/>
  <c r="I77" i="837"/>
  <c r="E77" i="837"/>
  <c r="C77" i="837"/>
  <c r="A77" i="837"/>
  <c r="K76" i="837"/>
  <c r="I76" i="837"/>
  <c r="E76" i="837"/>
  <c r="C76" i="837"/>
  <c r="A76" i="837"/>
  <c r="K75" i="837"/>
  <c r="I75" i="837"/>
  <c r="E75" i="837"/>
  <c r="C75" i="837"/>
  <c r="A75" i="837"/>
  <c r="K74" i="837"/>
  <c r="I74" i="837"/>
  <c r="E74" i="837"/>
  <c r="C74" i="837"/>
  <c r="A74" i="837"/>
  <c r="K73" i="837"/>
  <c r="I73" i="837"/>
  <c r="E73" i="837"/>
  <c r="C73" i="837"/>
  <c r="A73" i="837"/>
  <c r="K72" i="837"/>
  <c r="I72" i="837"/>
  <c r="E72" i="837"/>
  <c r="C72" i="837"/>
  <c r="A72" i="837"/>
  <c r="K71" i="837"/>
  <c r="I71" i="837"/>
  <c r="E71" i="837"/>
  <c r="C71" i="837"/>
  <c r="A71" i="837"/>
  <c r="K70" i="837"/>
  <c r="I70" i="837"/>
  <c r="E70" i="837"/>
  <c r="C70" i="837"/>
  <c r="A70" i="837"/>
  <c r="K69" i="837"/>
  <c r="I69" i="837"/>
  <c r="E69" i="837"/>
  <c r="C69" i="837"/>
  <c r="A69" i="837"/>
  <c r="K68" i="837"/>
  <c r="I68" i="837"/>
  <c r="E68" i="837"/>
  <c r="C68" i="837"/>
  <c r="A68" i="837"/>
  <c r="AE65" i="837"/>
  <c r="AC65" i="837"/>
  <c r="AA65" i="837"/>
  <c r="Y65" i="837"/>
  <c r="V65" i="837"/>
  <c r="U65" i="837"/>
  <c r="T65" i="837"/>
  <c r="S65" i="837"/>
  <c r="Q65" i="837"/>
  <c r="P65" i="837"/>
  <c r="O65" i="837"/>
  <c r="N65" i="837"/>
  <c r="K65" i="837"/>
  <c r="I65" i="837"/>
  <c r="G65" i="837"/>
  <c r="E65" i="837"/>
  <c r="C65" i="837"/>
  <c r="A65" i="837"/>
  <c r="AE64" i="837"/>
  <c r="AC64" i="837"/>
  <c r="AA64" i="837"/>
  <c r="Y64" i="837"/>
  <c r="V64" i="837"/>
  <c r="U64" i="837"/>
  <c r="T64" i="837"/>
  <c r="S64" i="837"/>
  <c r="Q64" i="837"/>
  <c r="P64" i="837"/>
  <c r="O64" i="837"/>
  <c r="N64" i="837"/>
  <c r="K64" i="837"/>
  <c r="I64" i="837"/>
  <c r="G64" i="837"/>
  <c r="E64" i="837"/>
  <c r="C64" i="837"/>
  <c r="A64" i="837"/>
  <c r="AE63" i="837"/>
  <c r="AC63" i="837"/>
  <c r="AA63" i="837"/>
  <c r="Y63" i="837"/>
  <c r="V63" i="837"/>
  <c r="U63" i="837"/>
  <c r="T63" i="837"/>
  <c r="S63" i="837"/>
  <c r="Q63" i="837"/>
  <c r="P63" i="837"/>
  <c r="O63" i="837"/>
  <c r="N63" i="837"/>
  <c r="K63" i="837"/>
  <c r="I63" i="837"/>
  <c r="G63" i="837"/>
  <c r="E63" i="837"/>
  <c r="C63" i="837"/>
  <c r="A63" i="837"/>
  <c r="AE62" i="837"/>
  <c r="AC62" i="837"/>
  <c r="AA62" i="837"/>
  <c r="Y62" i="837"/>
  <c r="V62" i="837"/>
  <c r="U62" i="837"/>
  <c r="T62" i="837"/>
  <c r="S62" i="837"/>
  <c r="Q62" i="837"/>
  <c r="P62" i="837"/>
  <c r="O62" i="837"/>
  <c r="N62" i="837"/>
  <c r="K62" i="837"/>
  <c r="I62" i="837"/>
  <c r="G62" i="837"/>
  <c r="E62" i="837"/>
  <c r="C62" i="837"/>
  <c r="A62" i="837"/>
  <c r="AE61" i="837"/>
  <c r="AC61" i="837"/>
  <c r="AA61" i="837"/>
  <c r="Y61" i="837"/>
  <c r="V61" i="837"/>
  <c r="U61" i="837"/>
  <c r="T61" i="837"/>
  <c r="S61" i="837"/>
  <c r="Q61" i="837"/>
  <c r="P61" i="837"/>
  <c r="O61" i="837"/>
  <c r="N61" i="837"/>
  <c r="K61" i="837"/>
  <c r="I61" i="837"/>
  <c r="G61" i="837"/>
  <c r="E61" i="837"/>
  <c r="C61" i="837"/>
  <c r="A61" i="837"/>
  <c r="AE60" i="837"/>
  <c r="AC60" i="837"/>
  <c r="AA60" i="837"/>
  <c r="Y60" i="837"/>
  <c r="V60" i="837"/>
  <c r="U60" i="837"/>
  <c r="T60" i="837"/>
  <c r="S60" i="837"/>
  <c r="Q60" i="837"/>
  <c r="P60" i="837"/>
  <c r="O60" i="837"/>
  <c r="N60" i="837"/>
  <c r="K60" i="837"/>
  <c r="I60" i="837"/>
  <c r="G60" i="837"/>
  <c r="E60" i="837"/>
  <c r="C60" i="837"/>
  <c r="A60" i="837"/>
  <c r="AE59" i="837"/>
  <c r="AC59" i="837"/>
  <c r="AA59" i="837"/>
  <c r="Y59" i="837"/>
  <c r="V59" i="837"/>
  <c r="U59" i="837"/>
  <c r="T59" i="837"/>
  <c r="S59" i="837"/>
  <c r="Q59" i="837"/>
  <c r="P59" i="837"/>
  <c r="O59" i="837"/>
  <c r="N59" i="837"/>
  <c r="K59" i="837"/>
  <c r="I59" i="837"/>
  <c r="G59" i="837"/>
  <c r="E59" i="837"/>
  <c r="C59" i="837"/>
  <c r="A59" i="837"/>
  <c r="AE58" i="837"/>
  <c r="AC58" i="837"/>
  <c r="AA58" i="837"/>
  <c r="Y58" i="837"/>
  <c r="V58" i="837"/>
  <c r="U58" i="837"/>
  <c r="T58" i="837"/>
  <c r="S58" i="837"/>
  <c r="Q58" i="837"/>
  <c r="P58" i="837"/>
  <c r="O58" i="837"/>
  <c r="N58" i="837"/>
  <c r="K58" i="837"/>
  <c r="I58" i="837"/>
  <c r="G58" i="837"/>
  <c r="E58" i="837"/>
  <c r="C58" i="837"/>
  <c r="A58" i="837"/>
  <c r="AE57" i="837"/>
  <c r="AC57" i="837"/>
  <c r="AA57" i="837"/>
  <c r="Y57" i="837"/>
  <c r="V57" i="837"/>
  <c r="U57" i="837"/>
  <c r="T57" i="837"/>
  <c r="S57" i="837"/>
  <c r="Q57" i="837"/>
  <c r="P57" i="837"/>
  <c r="O57" i="837"/>
  <c r="N57" i="837"/>
  <c r="K57" i="837"/>
  <c r="I57" i="837"/>
  <c r="G57" i="837"/>
  <c r="E57" i="837"/>
  <c r="C57" i="837"/>
  <c r="A57" i="837"/>
  <c r="AE56" i="837"/>
  <c r="AC56" i="837"/>
  <c r="AA56" i="837"/>
  <c r="Y56" i="837"/>
  <c r="V56" i="837"/>
  <c r="U56" i="837"/>
  <c r="T56" i="837"/>
  <c r="S56" i="837"/>
  <c r="Q56" i="837"/>
  <c r="P56" i="837"/>
  <c r="O56" i="837"/>
  <c r="N56" i="837"/>
  <c r="K56" i="837"/>
  <c r="I56" i="837"/>
  <c r="G56" i="837"/>
  <c r="E56" i="837"/>
  <c r="C56" i="837"/>
  <c r="A56" i="837"/>
  <c r="AE55" i="837"/>
  <c r="AC55" i="837"/>
  <c r="AA55" i="837"/>
  <c r="Y55" i="837"/>
  <c r="V55" i="837"/>
  <c r="U55" i="837"/>
  <c r="T55" i="837"/>
  <c r="S55" i="837"/>
  <c r="Q55" i="837"/>
  <c r="P55" i="837"/>
  <c r="O55" i="837"/>
  <c r="N55" i="837"/>
  <c r="K55" i="837"/>
  <c r="I55" i="837"/>
  <c r="Q22" i="837"/>
  <c r="G55" i="837"/>
  <c r="E55" i="837"/>
  <c r="K34" i="837"/>
  <c r="R51" i="258"/>
  <c r="C55" i="837"/>
  <c r="A55" i="837"/>
  <c r="AE54" i="837"/>
  <c r="AC54" i="837"/>
  <c r="AC66" i="837"/>
  <c r="AA54" i="837"/>
  <c r="Y54" i="837"/>
  <c r="V54" i="837"/>
  <c r="U54" i="837"/>
  <c r="T54" i="837"/>
  <c r="T66" i="837"/>
  <c r="S54" i="837"/>
  <c r="Q54" i="837"/>
  <c r="P54" i="837"/>
  <c r="P66" i="837"/>
  <c r="O54" i="837"/>
  <c r="N54" i="837"/>
  <c r="K54" i="837"/>
  <c r="I54" i="837"/>
  <c r="G54" i="837"/>
  <c r="E54" i="837"/>
  <c r="C54" i="837"/>
  <c r="A54" i="837"/>
  <c r="J29" i="837"/>
  <c r="M51" i="258"/>
  <c r="T27" i="837"/>
  <c r="AF51" i="258"/>
  <c r="Q28" i="259"/>
  <c r="S27" i="837"/>
  <c r="AE51" i="258"/>
  <c r="Q27" i="259"/>
  <c r="A19" i="837"/>
  <c r="T20" i="837"/>
  <c r="Y16" i="837"/>
  <c r="X16" i="837"/>
  <c r="AG51" i="258"/>
  <c r="Q29" i="259"/>
  <c r="W16" i="837"/>
  <c r="V16" i="837"/>
  <c r="U16" i="837"/>
  <c r="S16" i="837"/>
  <c r="S20" i="837"/>
  <c r="X51" i="258"/>
  <c r="Q20" i="259"/>
  <c r="R16" i="837"/>
  <c r="Q16" i="837"/>
  <c r="P16" i="837"/>
  <c r="O16" i="837"/>
  <c r="N16" i="837"/>
  <c r="M16" i="837"/>
  <c r="L16" i="837"/>
  <c r="K16" i="837"/>
  <c r="J16" i="837"/>
  <c r="I16" i="837"/>
  <c r="H16" i="837"/>
  <c r="F16" i="837"/>
  <c r="E16" i="837"/>
  <c r="C16" i="837"/>
  <c r="H94" i="836"/>
  <c r="F94" i="836"/>
  <c r="D94" i="836"/>
  <c r="B94" i="836"/>
  <c r="K79" i="836"/>
  <c r="I79" i="836"/>
  <c r="E79" i="836"/>
  <c r="C79" i="836"/>
  <c r="A79" i="836"/>
  <c r="K78" i="836"/>
  <c r="I78" i="836"/>
  <c r="E78" i="836"/>
  <c r="C78" i="836"/>
  <c r="A78" i="836"/>
  <c r="K77" i="836"/>
  <c r="I77" i="836"/>
  <c r="E77" i="836"/>
  <c r="C77" i="836"/>
  <c r="A77" i="836"/>
  <c r="K76" i="836"/>
  <c r="I76" i="836"/>
  <c r="E76" i="836"/>
  <c r="C76" i="836"/>
  <c r="A76" i="836"/>
  <c r="K75" i="836"/>
  <c r="I75" i="836"/>
  <c r="E75" i="836"/>
  <c r="C75" i="836"/>
  <c r="A75" i="836"/>
  <c r="K74" i="836"/>
  <c r="I74" i="836"/>
  <c r="E74" i="836"/>
  <c r="C74" i="836"/>
  <c r="A74" i="836"/>
  <c r="K73" i="836"/>
  <c r="I73" i="836"/>
  <c r="E73" i="836"/>
  <c r="C73" i="836"/>
  <c r="A73" i="836"/>
  <c r="K72" i="836"/>
  <c r="I72" i="836"/>
  <c r="E72" i="836"/>
  <c r="C72" i="836"/>
  <c r="A72" i="836"/>
  <c r="K71" i="836"/>
  <c r="I71" i="836"/>
  <c r="E71" i="836"/>
  <c r="C71" i="836"/>
  <c r="A71" i="836"/>
  <c r="K70" i="836"/>
  <c r="I70" i="836"/>
  <c r="E70" i="836"/>
  <c r="C70" i="836"/>
  <c r="A70" i="836"/>
  <c r="K69" i="836"/>
  <c r="I69" i="836"/>
  <c r="E69" i="836"/>
  <c r="C69" i="836"/>
  <c r="A69" i="836"/>
  <c r="K68" i="836"/>
  <c r="I68" i="836"/>
  <c r="E68" i="836"/>
  <c r="C68" i="836"/>
  <c r="A68" i="836"/>
  <c r="AE65" i="836"/>
  <c r="AC65" i="836"/>
  <c r="AA65" i="836"/>
  <c r="Y65" i="836"/>
  <c r="V65" i="836"/>
  <c r="U65" i="836"/>
  <c r="T65" i="836"/>
  <c r="S65" i="836"/>
  <c r="Q65" i="836"/>
  <c r="P65" i="836"/>
  <c r="O65" i="836"/>
  <c r="N65" i="836"/>
  <c r="K65" i="836"/>
  <c r="I65" i="836"/>
  <c r="G65" i="836"/>
  <c r="E65" i="836"/>
  <c r="C65" i="836"/>
  <c r="A65" i="836"/>
  <c r="AE64" i="836"/>
  <c r="AC64" i="836"/>
  <c r="AA64" i="836"/>
  <c r="Y64" i="836"/>
  <c r="V64" i="836"/>
  <c r="U64" i="836"/>
  <c r="T64" i="836"/>
  <c r="S64" i="836"/>
  <c r="Q64" i="836"/>
  <c r="P64" i="836"/>
  <c r="O64" i="836"/>
  <c r="N64" i="836"/>
  <c r="K64" i="836"/>
  <c r="I64" i="836"/>
  <c r="G64" i="836"/>
  <c r="E64" i="836"/>
  <c r="C64" i="836"/>
  <c r="A64" i="836"/>
  <c r="AE63" i="836"/>
  <c r="AC63" i="836"/>
  <c r="AA63" i="836"/>
  <c r="Y63" i="836"/>
  <c r="V63" i="836"/>
  <c r="U63" i="836"/>
  <c r="T63" i="836"/>
  <c r="S63" i="836"/>
  <c r="Q63" i="836"/>
  <c r="P63" i="836"/>
  <c r="O63" i="836"/>
  <c r="N63" i="836"/>
  <c r="K63" i="836"/>
  <c r="I63" i="836"/>
  <c r="G63" i="836"/>
  <c r="E63" i="836"/>
  <c r="C63" i="836"/>
  <c r="A63" i="836"/>
  <c r="AE62" i="836"/>
  <c r="AC62" i="836"/>
  <c r="AA62" i="836"/>
  <c r="Y62" i="836"/>
  <c r="V62" i="836"/>
  <c r="U62" i="836"/>
  <c r="T62" i="836"/>
  <c r="S62" i="836"/>
  <c r="Q62" i="836"/>
  <c r="P62" i="836"/>
  <c r="O62" i="836"/>
  <c r="N62" i="836"/>
  <c r="K62" i="836"/>
  <c r="I62" i="836"/>
  <c r="G62" i="836"/>
  <c r="E62" i="836"/>
  <c r="C62" i="836"/>
  <c r="A62" i="836"/>
  <c r="AE61" i="836"/>
  <c r="AC61" i="836"/>
  <c r="AA61" i="836"/>
  <c r="Y61" i="836"/>
  <c r="V61" i="836"/>
  <c r="U61" i="836"/>
  <c r="T61" i="836"/>
  <c r="S61" i="836"/>
  <c r="Q61" i="836"/>
  <c r="P61" i="836"/>
  <c r="O61" i="836"/>
  <c r="N61" i="836"/>
  <c r="K61" i="836"/>
  <c r="I61" i="836"/>
  <c r="G61" i="836"/>
  <c r="E61" i="836"/>
  <c r="C61" i="836"/>
  <c r="A61" i="836"/>
  <c r="AE60" i="836"/>
  <c r="AC60" i="836"/>
  <c r="AA60" i="836"/>
  <c r="Y60" i="836"/>
  <c r="V60" i="836"/>
  <c r="U60" i="836"/>
  <c r="T60" i="836"/>
  <c r="S60" i="836"/>
  <c r="Q60" i="836"/>
  <c r="P60" i="836"/>
  <c r="O60" i="836"/>
  <c r="N60" i="836"/>
  <c r="K60" i="836"/>
  <c r="I60" i="836"/>
  <c r="G60" i="836"/>
  <c r="E60" i="836"/>
  <c r="C60" i="836"/>
  <c r="A60" i="836"/>
  <c r="AE59" i="836"/>
  <c r="AC59" i="836"/>
  <c r="AA59" i="836"/>
  <c r="Y59" i="836"/>
  <c r="V59" i="836"/>
  <c r="U59" i="836"/>
  <c r="T59" i="836"/>
  <c r="S59" i="836"/>
  <c r="Q59" i="836"/>
  <c r="P59" i="836"/>
  <c r="O59" i="836"/>
  <c r="N59" i="836"/>
  <c r="K59" i="836"/>
  <c r="I59" i="836"/>
  <c r="G59" i="836"/>
  <c r="E59" i="836"/>
  <c r="C59" i="836"/>
  <c r="A59" i="836"/>
  <c r="AE58" i="836"/>
  <c r="AC58" i="836"/>
  <c r="AA58" i="836"/>
  <c r="Y58" i="836"/>
  <c r="V58" i="836"/>
  <c r="U58" i="836"/>
  <c r="T58" i="836"/>
  <c r="S58" i="836"/>
  <c r="Q58" i="836"/>
  <c r="P58" i="836"/>
  <c r="O58" i="836"/>
  <c r="N58" i="836"/>
  <c r="K58" i="836"/>
  <c r="I58" i="836"/>
  <c r="G58" i="836"/>
  <c r="E58" i="836"/>
  <c r="C58" i="836"/>
  <c r="A58" i="836"/>
  <c r="AE57" i="836"/>
  <c r="AC57" i="836"/>
  <c r="AA57" i="836"/>
  <c r="Y57" i="836"/>
  <c r="V57" i="836"/>
  <c r="U57" i="836"/>
  <c r="T57" i="836"/>
  <c r="S57" i="836"/>
  <c r="Q57" i="836"/>
  <c r="P57" i="836"/>
  <c r="O57" i="836"/>
  <c r="N57" i="836"/>
  <c r="K57" i="836"/>
  <c r="I57" i="836"/>
  <c r="G57" i="836"/>
  <c r="E57" i="836"/>
  <c r="C57" i="836"/>
  <c r="A57" i="836"/>
  <c r="AE56" i="836"/>
  <c r="AC56" i="836"/>
  <c r="AA56" i="836"/>
  <c r="Y56" i="836"/>
  <c r="V56" i="836"/>
  <c r="U56" i="836"/>
  <c r="T56" i="836"/>
  <c r="S56" i="836"/>
  <c r="Q56" i="836"/>
  <c r="P56" i="836"/>
  <c r="O56" i="836"/>
  <c r="N56" i="836"/>
  <c r="K56" i="836"/>
  <c r="I56" i="836"/>
  <c r="G56" i="836"/>
  <c r="E56" i="836"/>
  <c r="C56" i="836"/>
  <c r="A56" i="836"/>
  <c r="AE55" i="836"/>
  <c r="AC55" i="836"/>
  <c r="AA55" i="836"/>
  <c r="Y55" i="836"/>
  <c r="V55" i="836"/>
  <c r="U55" i="836"/>
  <c r="T55" i="836"/>
  <c r="S55" i="836"/>
  <c r="Q55" i="836"/>
  <c r="Q66" i="836"/>
  <c r="P55" i="836"/>
  <c r="O55" i="836"/>
  <c r="N55" i="836"/>
  <c r="K55" i="836"/>
  <c r="I55" i="836"/>
  <c r="G55" i="836"/>
  <c r="E55" i="836"/>
  <c r="C55" i="836"/>
  <c r="A55" i="836"/>
  <c r="AE54" i="836"/>
  <c r="AC54" i="836"/>
  <c r="AA54" i="836"/>
  <c r="AA66" i="836"/>
  <c r="Y54" i="836"/>
  <c r="V54" i="836"/>
  <c r="U54" i="836"/>
  <c r="T54" i="836"/>
  <c r="S54" i="836"/>
  <c r="Q54" i="836"/>
  <c r="P54" i="836"/>
  <c r="O54" i="836"/>
  <c r="N54" i="836"/>
  <c r="N66" i="836"/>
  <c r="K54" i="836"/>
  <c r="I54" i="836"/>
  <c r="G54" i="836"/>
  <c r="E54" i="836"/>
  <c r="C54" i="836"/>
  <c r="A54" i="836"/>
  <c r="I24" i="836"/>
  <c r="J52" i="257"/>
  <c r="K37" i="836"/>
  <c r="T27" i="836"/>
  <c r="AF52" i="258"/>
  <c r="S27" i="836"/>
  <c r="AE52" i="258"/>
  <c r="O22" i="836"/>
  <c r="A19" i="836"/>
  <c r="T20" i="836"/>
  <c r="Y16" i="836"/>
  <c r="X16" i="836"/>
  <c r="AG52" i="258"/>
  <c r="W16" i="836"/>
  <c r="V16" i="836"/>
  <c r="U16" i="836"/>
  <c r="S16" i="836"/>
  <c r="S20" i="836"/>
  <c r="X52" i="258"/>
  <c r="R16" i="836"/>
  <c r="Q16" i="836"/>
  <c r="P16" i="836"/>
  <c r="O16" i="836"/>
  <c r="N16" i="836"/>
  <c r="M16" i="836"/>
  <c r="L16" i="836"/>
  <c r="K16" i="836"/>
  <c r="J16" i="836"/>
  <c r="I16" i="836"/>
  <c r="H16" i="836"/>
  <c r="F16" i="836"/>
  <c r="E16" i="836"/>
  <c r="C16" i="836"/>
  <c r="H94" i="835"/>
  <c r="F94" i="835"/>
  <c r="D94" i="835"/>
  <c r="B94" i="835"/>
  <c r="K79" i="835"/>
  <c r="I79" i="835"/>
  <c r="E79" i="835"/>
  <c r="C79" i="835"/>
  <c r="A79" i="835"/>
  <c r="K78" i="835"/>
  <c r="I78" i="835"/>
  <c r="E78" i="835"/>
  <c r="C78" i="835"/>
  <c r="A78" i="835"/>
  <c r="K77" i="835"/>
  <c r="I77" i="835"/>
  <c r="E77" i="835"/>
  <c r="C77" i="835"/>
  <c r="A77" i="835"/>
  <c r="K76" i="835"/>
  <c r="I76" i="835"/>
  <c r="E76" i="835"/>
  <c r="C76" i="835"/>
  <c r="A76" i="835"/>
  <c r="K75" i="835"/>
  <c r="I75" i="835"/>
  <c r="E75" i="835"/>
  <c r="C75" i="835"/>
  <c r="A75" i="835"/>
  <c r="K74" i="835"/>
  <c r="I74" i="835"/>
  <c r="E74" i="835"/>
  <c r="C74" i="835"/>
  <c r="A74" i="835"/>
  <c r="K73" i="835"/>
  <c r="I73" i="835"/>
  <c r="E73" i="835"/>
  <c r="C73" i="835"/>
  <c r="A73" i="835"/>
  <c r="K72" i="835"/>
  <c r="I72" i="835"/>
  <c r="E72" i="835"/>
  <c r="C72" i="835"/>
  <c r="A72" i="835"/>
  <c r="K71" i="835"/>
  <c r="I71" i="835"/>
  <c r="E71" i="835"/>
  <c r="C71" i="835"/>
  <c r="A71" i="835"/>
  <c r="K70" i="835"/>
  <c r="I70" i="835"/>
  <c r="E70" i="835"/>
  <c r="C70" i="835"/>
  <c r="A70" i="835"/>
  <c r="K69" i="835"/>
  <c r="I69" i="835"/>
  <c r="E69" i="835"/>
  <c r="C69" i="835"/>
  <c r="A69" i="835"/>
  <c r="K68" i="835"/>
  <c r="I68" i="835"/>
  <c r="E68" i="835"/>
  <c r="C68" i="835"/>
  <c r="A68" i="835"/>
  <c r="AE65" i="835"/>
  <c r="AC65" i="835"/>
  <c r="AA65" i="835"/>
  <c r="Y65" i="835"/>
  <c r="V65" i="835"/>
  <c r="U65" i="835"/>
  <c r="T65" i="835"/>
  <c r="S65" i="835"/>
  <c r="Q65" i="835"/>
  <c r="P65" i="835"/>
  <c r="O65" i="835"/>
  <c r="N65" i="835"/>
  <c r="K65" i="835"/>
  <c r="I65" i="835"/>
  <c r="G65" i="835"/>
  <c r="E65" i="835"/>
  <c r="C65" i="835"/>
  <c r="A65" i="835"/>
  <c r="AE64" i="835"/>
  <c r="AC64" i="835"/>
  <c r="AA64" i="835"/>
  <c r="Y64" i="835"/>
  <c r="V64" i="835"/>
  <c r="U64" i="835"/>
  <c r="T64" i="835"/>
  <c r="S64" i="835"/>
  <c r="Q64" i="835"/>
  <c r="P64" i="835"/>
  <c r="O64" i="835"/>
  <c r="N64" i="835"/>
  <c r="K64" i="835"/>
  <c r="I64" i="835"/>
  <c r="G64" i="835"/>
  <c r="E64" i="835"/>
  <c r="C64" i="835"/>
  <c r="A64" i="835"/>
  <c r="AE63" i="835"/>
  <c r="AC63" i="835"/>
  <c r="AA63" i="835"/>
  <c r="Y63" i="835"/>
  <c r="V63" i="835"/>
  <c r="U63" i="835"/>
  <c r="T63" i="835"/>
  <c r="S63" i="835"/>
  <c r="Q63" i="835"/>
  <c r="P63" i="835"/>
  <c r="O63" i="835"/>
  <c r="N63" i="835"/>
  <c r="K63" i="835"/>
  <c r="I63" i="835"/>
  <c r="G63" i="835"/>
  <c r="E63" i="835"/>
  <c r="C63" i="835"/>
  <c r="A63" i="835"/>
  <c r="AE62" i="835"/>
  <c r="AC62" i="835"/>
  <c r="AA62" i="835"/>
  <c r="Y62" i="835"/>
  <c r="V62" i="835"/>
  <c r="U62" i="835"/>
  <c r="T62" i="835"/>
  <c r="S62" i="835"/>
  <c r="Q62" i="835"/>
  <c r="P62" i="835"/>
  <c r="O62" i="835"/>
  <c r="N62" i="835"/>
  <c r="K62" i="835"/>
  <c r="I62" i="835"/>
  <c r="G62" i="835"/>
  <c r="E62" i="835"/>
  <c r="C62" i="835"/>
  <c r="A62" i="835"/>
  <c r="AE61" i="835"/>
  <c r="AC61" i="835"/>
  <c r="AA61" i="835"/>
  <c r="Y61" i="835"/>
  <c r="V61" i="835"/>
  <c r="U61" i="835"/>
  <c r="T61" i="835"/>
  <c r="S61" i="835"/>
  <c r="Q61" i="835"/>
  <c r="P61" i="835"/>
  <c r="O61" i="835"/>
  <c r="N61" i="835"/>
  <c r="K61" i="835"/>
  <c r="I61" i="835"/>
  <c r="G61" i="835"/>
  <c r="E61" i="835"/>
  <c r="C61" i="835"/>
  <c r="A61" i="835"/>
  <c r="AE60" i="835"/>
  <c r="AC60" i="835"/>
  <c r="AA60" i="835"/>
  <c r="Y60" i="835"/>
  <c r="V60" i="835"/>
  <c r="U60" i="835"/>
  <c r="T60" i="835"/>
  <c r="S60" i="835"/>
  <c r="Q60" i="835"/>
  <c r="P60" i="835"/>
  <c r="O60" i="835"/>
  <c r="N60" i="835"/>
  <c r="K60" i="835"/>
  <c r="I60" i="835"/>
  <c r="G60" i="835"/>
  <c r="E60" i="835"/>
  <c r="C60" i="835"/>
  <c r="A60" i="835"/>
  <c r="J24" i="835"/>
  <c r="H53" i="258"/>
  <c r="AE59" i="835"/>
  <c r="AC59" i="835"/>
  <c r="AA59" i="835"/>
  <c r="Y59" i="835"/>
  <c r="V59" i="835"/>
  <c r="U59" i="835"/>
  <c r="T59" i="835"/>
  <c r="S59" i="835"/>
  <c r="Q59" i="835"/>
  <c r="P59" i="835"/>
  <c r="O59" i="835"/>
  <c r="N59" i="835"/>
  <c r="K59" i="835"/>
  <c r="I59" i="835"/>
  <c r="G59" i="835"/>
  <c r="E59" i="835"/>
  <c r="C59" i="835"/>
  <c r="A59" i="835"/>
  <c r="AE58" i="835"/>
  <c r="AC58" i="835"/>
  <c r="AA58" i="835"/>
  <c r="Y58" i="835"/>
  <c r="V58" i="835"/>
  <c r="U58" i="835"/>
  <c r="T58" i="835"/>
  <c r="S58" i="835"/>
  <c r="Q58" i="835"/>
  <c r="P58" i="835"/>
  <c r="O58" i="835"/>
  <c r="N58" i="835"/>
  <c r="K58" i="835"/>
  <c r="I58" i="835"/>
  <c r="G58" i="835"/>
  <c r="E58" i="835"/>
  <c r="C58" i="835"/>
  <c r="A58" i="835"/>
  <c r="AE57" i="835"/>
  <c r="AC57" i="835"/>
  <c r="AA57" i="835"/>
  <c r="Y57" i="835"/>
  <c r="V57" i="835"/>
  <c r="U57" i="835"/>
  <c r="T57" i="835"/>
  <c r="S57" i="835"/>
  <c r="Q57" i="835"/>
  <c r="P57" i="835"/>
  <c r="O57" i="835"/>
  <c r="N57" i="835"/>
  <c r="K57" i="835"/>
  <c r="I57" i="835"/>
  <c r="P22" i="835"/>
  <c r="G57" i="835"/>
  <c r="K37" i="835"/>
  <c r="E57" i="835"/>
  <c r="C57" i="835"/>
  <c r="A57" i="835"/>
  <c r="AE56" i="835"/>
  <c r="AC56" i="835"/>
  <c r="AA56" i="835"/>
  <c r="Y56" i="835"/>
  <c r="V56" i="835"/>
  <c r="U56" i="835"/>
  <c r="T56" i="835"/>
  <c r="S56" i="835"/>
  <c r="Q56" i="835"/>
  <c r="P56" i="835"/>
  <c r="O56" i="835"/>
  <c r="N56" i="835"/>
  <c r="K56" i="835"/>
  <c r="I56" i="835"/>
  <c r="G56" i="835"/>
  <c r="E56" i="835"/>
  <c r="C56" i="835"/>
  <c r="A56" i="835"/>
  <c r="AE55" i="835"/>
  <c r="AC55" i="835"/>
  <c r="AA55" i="835"/>
  <c r="Y55" i="835"/>
  <c r="V55" i="835"/>
  <c r="U55" i="835"/>
  <c r="T55" i="835"/>
  <c r="S55" i="835"/>
  <c r="Q55" i="835"/>
  <c r="P55" i="835"/>
  <c r="O55" i="835"/>
  <c r="N55" i="835"/>
  <c r="K55" i="835"/>
  <c r="I55" i="835"/>
  <c r="G55" i="835"/>
  <c r="E55" i="835"/>
  <c r="K34" i="835"/>
  <c r="R53" i="258"/>
  <c r="C55" i="835"/>
  <c r="A55" i="835"/>
  <c r="AE54" i="835"/>
  <c r="AC54" i="835"/>
  <c r="AC66" i="835"/>
  <c r="AA54" i="835"/>
  <c r="Y54" i="835"/>
  <c r="V54" i="835"/>
  <c r="U54" i="835"/>
  <c r="T54" i="835"/>
  <c r="S54" i="835"/>
  <c r="S66" i="835"/>
  <c r="Q54" i="835"/>
  <c r="P54" i="835"/>
  <c r="O54" i="835"/>
  <c r="N54" i="835"/>
  <c r="N66" i="835"/>
  <c r="K54" i="835"/>
  <c r="I54" i="835"/>
  <c r="N22" i="835"/>
  <c r="G54" i="835"/>
  <c r="E54" i="835"/>
  <c r="C54" i="835"/>
  <c r="A54" i="835"/>
  <c r="T27" i="835"/>
  <c r="AF53" i="258"/>
  <c r="S27" i="835"/>
  <c r="AE53" i="258"/>
  <c r="A19" i="835"/>
  <c r="T20" i="835"/>
  <c r="Y16" i="835"/>
  <c r="X16" i="835"/>
  <c r="AG53" i="258"/>
  <c r="W16" i="835"/>
  <c r="V16" i="835"/>
  <c r="U16" i="835"/>
  <c r="S16" i="835"/>
  <c r="S20" i="835"/>
  <c r="X53" i="258"/>
  <c r="R16" i="835"/>
  <c r="Q16" i="835"/>
  <c r="P16" i="835"/>
  <c r="O16" i="835"/>
  <c r="N16" i="835"/>
  <c r="M16" i="835"/>
  <c r="L16" i="835"/>
  <c r="K16" i="835"/>
  <c r="J16" i="835"/>
  <c r="I16" i="835"/>
  <c r="H16" i="835"/>
  <c r="F16" i="835"/>
  <c r="E16" i="835"/>
  <c r="C16" i="835"/>
  <c r="H94" i="834"/>
  <c r="F94" i="834"/>
  <c r="D94" i="834"/>
  <c r="B94" i="834"/>
  <c r="K79" i="834"/>
  <c r="I79" i="834"/>
  <c r="E79" i="834"/>
  <c r="C79" i="834"/>
  <c r="A79" i="834"/>
  <c r="K78" i="834"/>
  <c r="I78" i="834"/>
  <c r="E78" i="834"/>
  <c r="C78" i="834"/>
  <c r="A78" i="834"/>
  <c r="K77" i="834"/>
  <c r="I77" i="834"/>
  <c r="E77" i="834"/>
  <c r="C77" i="834"/>
  <c r="A77" i="834"/>
  <c r="K76" i="834"/>
  <c r="I76" i="834"/>
  <c r="E76" i="834"/>
  <c r="C76" i="834"/>
  <c r="A76" i="834"/>
  <c r="K75" i="834"/>
  <c r="I75" i="834"/>
  <c r="E75" i="834"/>
  <c r="C75" i="834"/>
  <c r="A75" i="834"/>
  <c r="K74" i="834"/>
  <c r="I74" i="834"/>
  <c r="E74" i="834"/>
  <c r="C74" i="834"/>
  <c r="A74" i="834"/>
  <c r="K73" i="834"/>
  <c r="I73" i="834"/>
  <c r="E73" i="834"/>
  <c r="C73" i="834"/>
  <c r="A73" i="834"/>
  <c r="K72" i="834"/>
  <c r="I72" i="834"/>
  <c r="E72" i="834"/>
  <c r="C72" i="834"/>
  <c r="A72" i="834"/>
  <c r="K71" i="834"/>
  <c r="I71" i="834"/>
  <c r="E71" i="834"/>
  <c r="C71" i="834"/>
  <c r="A71" i="834"/>
  <c r="K70" i="834"/>
  <c r="I70" i="834"/>
  <c r="E70" i="834"/>
  <c r="C70" i="834"/>
  <c r="A70" i="834"/>
  <c r="K69" i="834"/>
  <c r="I69" i="834"/>
  <c r="E69" i="834"/>
  <c r="C69" i="834"/>
  <c r="A69" i="834"/>
  <c r="K68" i="834"/>
  <c r="I68" i="834"/>
  <c r="E68" i="834"/>
  <c r="C68" i="834"/>
  <c r="A68" i="834"/>
  <c r="AE65" i="834"/>
  <c r="AC65" i="834"/>
  <c r="AA65" i="834"/>
  <c r="Y65" i="834"/>
  <c r="V65" i="834"/>
  <c r="U65" i="834"/>
  <c r="T65" i="834"/>
  <c r="S65" i="834"/>
  <c r="Q65" i="834"/>
  <c r="P65" i="834"/>
  <c r="O65" i="834"/>
  <c r="N65" i="834"/>
  <c r="K65" i="834"/>
  <c r="I65" i="834"/>
  <c r="P22" i="834"/>
  <c r="G65" i="834"/>
  <c r="E65" i="834"/>
  <c r="C65" i="834"/>
  <c r="A65" i="834"/>
  <c r="AE64" i="834"/>
  <c r="AC64" i="834"/>
  <c r="AA64" i="834"/>
  <c r="Y64" i="834"/>
  <c r="V64" i="834"/>
  <c r="U64" i="834"/>
  <c r="T64" i="834"/>
  <c r="S64" i="834"/>
  <c r="Q64" i="834"/>
  <c r="P64" i="834"/>
  <c r="O64" i="834"/>
  <c r="N64" i="834"/>
  <c r="K64" i="834"/>
  <c r="I64" i="834"/>
  <c r="G64" i="834"/>
  <c r="E64" i="834"/>
  <c r="C64" i="834"/>
  <c r="A64" i="834"/>
  <c r="AE63" i="834"/>
  <c r="AC63" i="834"/>
  <c r="AA63" i="834"/>
  <c r="Y63" i="834"/>
  <c r="V63" i="834"/>
  <c r="U63" i="834"/>
  <c r="T63" i="834"/>
  <c r="S63" i="834"/>
  <c r="Q63" i="834"/>
  <c r="P63" i="834"/>
  <c r="O63" i="834"/>
  <c r="N63" i="834"/>
  <c r="K63" i="834"/>
  <c r="I63" i="834"/>
  <c r="G63" i="834"/>
  <c r="E63" i="834"/>
  <c r="C63" i="834"/>
  <c r="A63" i="834"/>
  <c r="AE62" i="834"/>
  <c r="AC62" i="834"/>
  <c r="AA62" i="834"/>
  <c r="Y62" i="834"/>
  <c r="V62" i="834"/>
  <c r="U62" i="834"/>
  <c r="T62" i="834"/>
  <c r="S62" i="834"/>
  <c r="Q62" i="834"/>
  <c r="P62" i="834"/>
  <c r="O62" i="834"/>
  <c r="N62" i="834"/>
  <c r="K62" i="834"/>
  <c r="I62" i="834"/>
  <c r="G62" i="834"/>
  <c r="E62" i="834"/>
  <c r="C62" i="834"/>
  <c r="A62" i="834"/>
  <c r="AE61" i="834"/>
  <c r="AC61" i="834"/>
  <c r="AA61" i="834"/>
  <c r="Y61" i="834"/>
  <c r="V61" i="834"/>
  <c r="U61" i="834"/>
  <c r="T61" i="834"/>
  <c r="S61" i="834"/>
  <c r="Q61" i="834"/>
  <c r="P61" i="834"/>
  <c r="O61" i="834"/>
  <c r="N61" i="834"/>
  <c r="K61" i="834"/>
  <c r="I61" i="834"/>
  <c r="G61" i="834"/>
  <c r="E61" i="834"/>
  <c r="C61" i="834"/>
  <c r="A61" i="834"/>
  <c r="AE60" i="834"/>
  <c r="AC60" i="834"/>
  <c r="AA60" i="834"/>
  <c r="Y60" i="834"/>
  <c r="V60" i="834"/>
  <c r="U60" i="834"/>
  <c r="T60" i="834"/>
  <c r="S60" i="834"/>
  <c r="Q60" i="834"/>
  <c r="P60" i="834"/>
  <c r="O60" i="834"/>
  <c r="N60" i="834"/>
  <c r="K60" i="834"/>
  <c r="I60" i="834"/>
  <c r="G60" i="834"/>
  <c r="E60" i="834"/>
  <c r="C60" i="834"/>
  <c r="A60" i="834"/>
  <c r="AE59" i="834"/>
  <c r="AC59" i="834"/>
  <c r="AA59" i="834"/>
  <c r="Y59" i="834"/>
  <c r="V59" i="834"/>
  <c r="U59" i="834"/>
  <c r="T59" i="834"/>
  <c r="S59" i="834"/>
  <c r="Q59" i="834"/>
  <c r="P59" i="834"/>
  <c r="O59" i="834"/>
  <c r="N59" i="834"/>
  <c r="K59" i="834"/>
  <c r="I59" i="834"/>
  <c r="G59" i="834"/>
  <c r="E59" i="834"/>
  <c r="C59" i="834"/>
  <c r="A59" i="834"/>
  <c r="AE58" i="834"/>
  <c r="AC58" i="834"/>
  <c r="AA58" i="834"/>
  <c r="Y58" i="834"/>
  <c r="V58" i="834"/>
  <c r="U58" i="834"/>
  <c r="T58" i="834"/>
  <c r="S58" i="834"/>
  <c r="Q58" i="834"/>
  <c r="P58" i="834"/>
  <c r="O58" i="834"/>
  <c r="N58" i="834"/>
  <c r="K58" i="834"/>
  <c r="I58" i="834"/>
  <c r="G58" i="834"/>
  <c r="E58" i="834"/>
  <c r="C58" i="834"/>
  <c r="A58" i="834"/>
  <c r="AE57" i="834"/>
  <c r="AC57" i="834"/>
  <c r="AA57" i="834"/>
  <c r="Y57" i="834"/>
  <c r="V57" i="834"/>
  <c r="U57" i="834"/>
  <c r="T57" i="834"/>
  <c r="S57" i="834"/>
  <c r="Q57" i="834"/>
  <c r="P57" i="834"/>
  <c r="O57" i="834"/>
  <c r="N57" i="834"/>
  <c r="K57" i="834"/>
  <c r="I57" i="834"/>
  <c r="G57" i="834"/>
  <c r="E57" i="834"/>
  <c r="C57" i="834"/>
  <c r="A57" i="834"/>
  <c r="AE56" i="834"/>
  <c r="AC56" i="834"/>
  <c r="AA56" i="834"/>
  <c r="Y56" i="834"/>
  <c r="V56" i="834"/>
  <c r="U56" i="834"/>
  <c r="T56" i="834"/>
  <c r="S56" i="834"/>
  <c r="Q56" i="834"/>
  <c r="P56" i="834"/>
  <c r="O56" i="834"/>
  <c r="N56" i="834"/>
  <c r="K56" i="834"/>
  <c r="I56" i="834"/>
  <c r="G56" i="834"/>
  <c r="E56" i="834"/>
  <c r="C56" i="834"/>
  <c r="A56" i="834"/>
  <c r="AE55" i="834"/>
  <c r="AC55" i="834"/>
  <c r="AA55" i="834"/>
  <c r="Y55" i="834"/>
  <c r="V55" i="834"/>
  <c r="U55" i="834"/>
  <c r="T55" i="834"/>
  <c r="S55" i="834"/>
  <c r="Q55" i="834"/>
  <c r="Q66" i="834"/>
  <c r="P55" i="834"/>
  <c r="O55" i="834"/>
  <c r="N55" i="834"/>
  <c r="K55" i="834"/>
  <c r="I55" i="834"/>
  <c r="G55" i="834"/>
  <c r="E55" i="834"/>
  <c r="C55" i="834"/>
  <c r="A55" i="834"/>
  <c r="AE54" i="834"/>
  <c r="AC54" i="834"/>
  <c r="AA54" i="834"/>
  <c r="Y54" i="834"/>
  <c r="V54" i="834"/>
  <c r="U54" i="834"/>
  <c r="T54" i="834"/>
  <c r="T66" i="834"/>
  <c r="S54" i="834"/>
  <c r="Q54" i="834"/>
  <c r="P54" i="834"/>
  <c r="O54" i="834"/>
  <c r="N54" i="834"/>
  <c r="K54" i="834"/>
  <c r="I54" i="834"/>
  <c r="G54" i="834"/>
  <c r="E54" i="834"/>
  <c r="J34" i="834"/>
  <c r="Q54" i="258"/>
  <c r="C54" i="834"/>
  <c r="A54" i="834"/>
  <c r="K37" i="834"/>
  <c r="K34" i="834"/>
  <c r="R54" i="258"/>
  <c r="T27" i="834"/>
  <c r="AF54" i="258"/>
  <c r="S27" i="834"/>
  <c r="AE54" i="258"/>
  <c r="A19" i="834"/>
  <c r="T20" i="834"/>
  <c r="Y16" i="834"/>
  <c r="X16" i="834"/>
  <c r="AG54" i="258"/>
  <c r="W16" i="834"/>
  <c r="V16" i="834"/>
  <c r="U16" i="834"/>
  <c r="S16" i="834"/>
  <c r="S20" i="834"/>
  <c r="X54" i="258"/>
  <c r="R16" i="834"/>
  <c r="Q16" i="834"/>
  <c r="P16" i="834"/>
  <c r="O16" i="834"/>
  <c r="N16" i="834"/>
  <c r="M16" i="834"/>
  <c r="L16" i="834"/>
  <c r="K16" i="834"/>
  <c r="J16" i="834"/>
  <c r="I16" i="834"/>
  <c r="H16" i="834"/>
  <c r="F16" i="834"/>
  <c r="E16" i="834"/>
  <c r="C16" i="834"/>
  <c r="H94" i="833"/>
  <c r="F94" i="833"/>
  <c r="D94" i="833"/>
  <c r="B94" i="833"/>
  <c r="K79" i="833"/>
  <c r="I79" i="833"/>
  <c r="E79" i="833"/>
  <c r="C79" i="833"/>
  <c r="A79" i="833"/>
  <c r="K78" i="833"/>
  <c r="I78" i="833"/>
  <c r="E78" i="833"/>
  <c r="C78" i="833"/>
  <c r="A78" i="833"/>
  <c r="K77" i="833"/>
  <c r="I77" i="833"/>
  <c r="E77" i="833"/>
  <c r="C77" i="833"/>
  <c r="A77" i="833"/>
  <c r="K76" i="833"/>
  <c r="I76" i="833"/>
  <c r="E76" i="833"/>
  <c r="C76" i="833"/>
  <c r="A76" i="833"/>
  <c r="K75" i="833"/>
  <c r="I75" i="833"/>
  <c r="E75" i="833"/>
  <c r="C75" i="833"/>
  <c r="A75" i="833"/>
  <c r="K74" i="833"/>
  <c r="I74" i="833"/>
  <c r="E74" i="833"/>
  <c r="C74" i="833"/>
  <c r="A74" i="833"/>
  <c r="K73" i="833"/>
  <c r="I73" i="833"/>
  <c r="E73" i="833"/>
  <c r="C73" i="833"/>
  <c r="A73" i="833"/>
  <c r="K72" i="833"/>
  <c r="I72" i="833"/>
  <c r="E72" i="833"/>
  <c r="C72" i="833"/>
  <c r="A72" i="833"/>
  <c r="K71" i="833"/>
  <c r="I71" i="833"/>
  <c r="E71" i="833"/>
  <c r="C71" i="833"/>
  <c r="A71" i="833"/>
  <c r="K70" i="833"/>
  <c r="I70" i="833"/>
  <c r="E70" i="833"/>
  <c r="C70" i="833"/>
  <c r="A70" i="833"/>
  <c r="K69" i="833"/>
  <c r="I69" i="833"/>
  <c r="E69" i="833"/>
  <c r="C69" i="833"/>
  <c r="A69" i="833"/>
  <c r="K68" i="833"/>
  <c r="I68" i="833"/>
  <c r="E68" i="833"/>
  <c r="C68" i="833"/>
  <c r="A68" i="833"/>
  <c r="AE65" i="833"/>
  <c r="AC65" i="833"/>
  <c r="AA65" i="833"/>
  <c r="Y65" i="833"/>
  <c r="V65" i="833"/>
  <c r="U65" i="833"/>
  <c r="T65" i="833"/>
  <c r="S65" i="833"/>
  <c r="Q65" i="833"/>
  <c r="P65" i="833"/>
  <c r="O65" i="833"/>
  <c r="N65" i="833"/>
  <c r="K65" i="833"/>
  <c r="I65" i="833"/>
  <c r="G65" i="833"/>
  <c r="E65" i="833"/>
  <c r="C65" i="833"/>
  <c r="A65" i="833"/>
  <c r="AE64" i="833"/>
  <c r="AC64" i="833"/>
  <c r="AA64" i="833"/>
  <c r="Y64" i="833"/>
  <c r="V64" i="833"/>
  <c r="U64" i="833"/>
  <c r="T64" i="833"/>
  <c r="S64" i="833"/>
  <c r="Q64" i="833"/>
  <c r="P64" i="833"/>
  <c r="O64" i="833"/>
  <c r="N64" i="833"/>
  <c r="K64" i="833"/>
  <c r="I64" i="833"/>
  <c r="G64" i="833"/>
  <c r="E64" i="833"/>
  <c r="C64" i="833"/>
  <c r="A64" i="833"/>
  <c r="AE63" i="833"/>
  <c r="AC63" i="833"/>
  <c r="AA63" i="833"/>
  <c r="Y63" i="833"/>
  <c r="V63" i="833"/>
  <c r="U63" i="833"/>
  <c r="T63" i="833"/>
  <c r="S63" i="833"/>
  <c r="Q63" i="833"/>
  <c r="P63" i="833"/>
  <c r="O63" i="833"/>
  <c r="N63" i="833"/>
  <c r="K63" i="833"/>
  <c r="I63" i="833"/>
  <c r="G63" i="833"/>
  <c r="E63" i="833"/>
  <c r="C63" i="833"/>
  <c r="A63" i="833"/>
  <c r="AE62" i="833"/>
  <c r="AC62" i="833"/>
  <c r="AA62" i="833"/>
  <c r="Y62" i="833"/>
  <c r="V62" i="833"/>
  <c r="U62" i="833"/>
  <c r="T62" i="833"/>
  <c r="S62" i="833"/>
  <c r="Q62" i="833"/>
  <c r="P62" i="833"/>
  <c r="O62" i="833"/>
  <c r="N62" i="833"/>
  <c r="K62" i="833"/>
  <c r="I62" i="833"/>
  <c r="G62" i="833"/>
  <c r="E62" i="833"/>
  <c r="C62" i="833"/>
  <c r="A62" i="833"/>
  <c r="AE61" i="833"/>
  <c r="AC61" i="833"/>
  <c r="AA61" i="833"/>
  <c r="Y61" i="833"/>
  <c r="V61" i="833"/>
  <c r="U61" i="833"/>
  <c r="T61" i="833"/>
  <c r="S61" i="833"/>
  <c r="Q61" i="833"/>
  <c r="P61" i="833"/>
  <c r="O61" i="833"/>
  <c r="N61" i="833"/>
  <c r="K61" i="833"/>
  <c r="I61" i="833"/>
  <c r="G61" i="833"/>
  <c r="E61" i="833"/>
  <c r="C61" i="833"/>
  <c r="A61" i="833"/>
  <c r="AE60" i="833"/>
  <c r="AC60" i="833"/>
  <c r="AA60" i="833"/>
  <c r="Y60" i="833"/>
  <c r="V60" i="833"/>
  <c r="U60" i="833"/>
  <c r="T60" i="833"/>
  <c r="S60" i="833"/>
  <c r="Q60" i="833"/>
  <c r="P60" i="833"/>
  <c r="O60" i="833"/>
  <c r="N60" i="833"/>
  <c r="K60" i="833"/>
  <c r="I60" i="833"/>
  <c r="G60" i="833"/>
  <c r="E60" i="833"/>
  <c r="C60" i="833"/>
  <c r="A60" i="833"/>
  <c r="J24" i="833"/>
  <c r="K55" i="257"/>
  <c r="AE59" i="833"/>
  <c r="AC59" i="833"/>
  <c r="AA59" i="833"/>
  <c r="Y59" i="833"/>
  <c r="V59" i="833"/>
  <c r="U59" i="833"/>
  <c r="T59" i="833"/>
  <c r="S59" i="833"/>
  <c r="Q59" i="833"/>
  <c r="P59" i="833"/>
  <c r="O59" i="833"/>
  <c r="N59" i="833"/>
  <c r="K59" i="833"/>
  <c r="I59" i="833"/>
  <c r="G59" i="833"/>
  <c r="E59" i="833"/>
  <c r="C59" i="833"/>
  <c r="A59" i="833"/>
  <c r="AE58" i="833"/>
  <c r="AC58" i="833"/>
  <c r="AA58" i="833"/>
  <c r="Y58" i="833"/>
  <c r="V58" i="833"/>
  <c r="U58" i="833"/>
  <c r="T58" i="833"/>
  <c r="S58" i="833"/>
  <c r="Q58" i="833"/>
  <c r="P58" i="833"/>
  <c r="O58" i="833"/>
  <c r="N58" i="833"/>
  <c r="K58" i="833"/>
  <c r="I58" i="833"/>
  <c r="G58" i="833"/>
  <c r="E58" i="833"/>
  <c r="C58" i="833"/>
  <c r="A58" i="833"/>
  <c r="AE57" i="833"/>
  <c r="AC57" i="833"/>
  <c r="AA57" i="833"/>
  <c r="Y57" i="833"/>
  <c r="V57" i="833"/>
  <c r="U57" i="833"/>
  <c r="T57" i="833"/>
  <c r="S57" i="833"/>
  <c r="Q57" i="833"/>
  <c r="P57" i="833"/>
  <c r="O57" i="833"/>
  <c r="N57" i="833"/>
  <c r="K57" i="833"/>
  <c r="I57" i="833"/>
  <c r="G57" i="833"/>
  <c r="E57" i="833"/>
  <c r="C57" i="833"/>
  <c r="A57" i="833"/>
  <c r="AE56" i="833"/>
  <c r="AC56" i="833"/>
  <c r="AA56" i="833"/>
  <c r="Y56" i="833"/>
  <c r="V56" i="833"/>
  <c r="U56" i="833"/>
  <c r="T56" i="833"/>
  <c r="S56" i="833"/>
  <c r="Q56" i="833"/>
  <c r="P56" i="833"/>
  <c r="O56" i="833"/>
  <c r="N56" i="833"/>
  <c r="K56" i="833"/>
  <c r="I56" i="833"/>
  <c r="G56" i="833"/>
  <c r="E56" i="833"/>
  <c r="C56" i="833"/>
  <c r="A56" i="833"/>
  <c r="AE55" i="833"/>
  <c r="AC55" i="833"/>
  <c r="AA55" i="833"/>
  <c r="Y55" i="833"/>
  <c r="V55" i="833"/>
  <c r="U55" i="833"/>
  <c r="T55" i="833"/>
  <c r="S55" i="833"/>
  <c r="Q55" i="833"/>
  <c r="P55" i="833"/>
  <c r="O55" i="833"/>
  <c r="N55" i="833"/>
  <c r="K55" i="833"/>
  <c r="I55" i="833"/>
  <c r="G55" i="833"/>
  <c r="E55" i="833"/>
  <c r="C55" i="833"/>
  <c r="A55" i="833"/>
  <c r="AE54" i="833"/>
  <c r="AC54" i="833"/>
  <c r="AA54" i="833"/>
  <c r="Y54" i="833"/>
  <c r="V54" i="833"/>
  <c r="U54" i="833"/>
  <c r="T54" i="833"/>
  <c r="T66" i="833"/>
  <c r="S54" i="833"/>
  <c r="S66" i="833"/>
  <c r="Q54" i="833"/>
  <c r="P54" i="833"/>
  <c r="P66" i="833"/>
  <c r="O54" i="833"/>
  <c r="N54" i="833"/>
  <c r="N66" i="833"/>
  <c r="K54" i="833"/>
  <c r="I54" i="833"/>
  <c r="G54" i="833"/>
  <c r="E54" i="833"/>
  <c r="C54" i="833"/>
  <c r="A54" i="833"/>
  <c r="I24" i="833"/>
  <c r="G55" i="258"/>
  <c r="T27" i="833"/>
  <c r="AF55" i="258"/>
  <c r="S27" i="833"/>
  <c r="AE55" i="258"/>
  <c r="A19" i="833"/>
  <c r="T20" i="833"/>
  <c r="Y16" i="833"/>
  <c r="X16" i="833"/>
  <c r="AG55" i="258"/>
  <c r="W16" i="833"/>
  <c r="V16" i="833"/>
  <c r="AA55" i="258"/>
  <c r="U16" i="833"/>
  <c r="S16" i="833"/>
  <c r="S20" i="833"/>
  <c r="X55" i="258"/>
  <c r="R16" i="833"/>
  <c r="Q16" i="833"/>
  <c r="P16" i="833"/>
  <c r="O16" i="833"/>
  <c r="N16" i="833"/>
  <c r="M16" i="833"/>
  <c r="L16" i="833"/>
  <c r="K16" i="833"/>
  <c r="J16" i="833"/>
  <c r="I16" i="833"/>
  <c r="H16" i="833"/>
  <c r="F16" i="833"/>
  <c r="E16" i="833"/>
  <c r="C16" i="833"/>
  <c r="H94" i="832"/>
  <c r="F94" i="832"/>
  <c r="D94" i="832"/>
  <c r="B94" i="832"/>
  <c r="K79" i="832"/>
  <c r="I79" i="832"/>
  <c r="E79" i="832"/>
  <c r="C79" i="832"/>
  <c r="A79" i="832"/>
  <c r="K78" i="832"/>
  <c r="I78" i="832"/>
  <c r="E78" i="832"/>
  <c r="C78" i="832"/>
  <c r="A78" i="832"/>
  <c r="K77" i="832"/>
  <c r="I77" i="832"/>
  <c r="E77" i="832"/>
  <c r="C77" i="832"/>
  <c r="A77" i="832"/>
  <c r="K76" i="832"/>
  <c r="I76" i="832"/>
  <c r="E76" i="832"/>
  <c r="C76" i="832"/>
  <c r="A76" i="832"/>
  <c r="K75" i="832"/>
  <c r="I75" i="832"/>
  <c r="E75" i="832"/>
  <c r="C75" i="832"/>
  <c r="A75" i="832"/>
  <c r="K74" i="832"/>
  <c r="I74" i="832"/>
  <c r="E74" i="832"/>
  <c r="C74" i="832"/>
  <c r="A74" i="832"/>
  <c r="K73" i="832"/>
  <c r="I73" i="832"/>
  <c r="E73" i="832"/>
  <c r="C73" i="832"/>
  <c r="A73" i="832"/>
  <c r="K72" i="832"/>
  <c r="I72" i="832"/>
  <c r="E72" i="832"/>
  <c r="C72" i="832"/>
  <c r="A72" i="832"/>
  <c r="K71" i="832"/>
  <c r="I71" i="832"/>
  <c r="E71" i="832"/>
  <c r="C71" i="832"/>
  <c r="A71" i="832"/>
  <c r="K70" i="832"/>
  <c r="I70" i="832"/>
  <c r="E70" i="832"/>
  <c r="C70" i="832"/>
  <c r="A70" i="832"/>
  <c r="K69" i="832"/>
  <c r="I69" i="832"/>
  <c r="E69" i="832"/>
  <c r="C69" i="832"/>
  <c r="A69" i="832"/>
  <c r="K68" i="832"/>
  <c r="I68" i="832"/>
  <c r="E68" i="832"/>
  <c r="C68" i="832"/>
  <c r="A68" i="832"/>
  <c r="AE65" i="832"/>
  <c r="AC65" i="832"/>
  <c r="AA65" i="832"/>
  <c r="Y65" i="832"/>
  <c r="V65" i="832"/>
  <c r="U65" i="832"/>
  <c r="T65" i="832"/>
  <c r="S65" i="832"/>
  <c r="Q65" i="832"/>
  <c r="P65" i="832"/>
  <c r="O65" i="832"/>
  <c r="N65" i="832"/>
  <c r="K65" i="832"/>
  <c r="I65" i="832"/>
  <c r="G65" i="832"/>
  <c r="E65" i="832"/>
  <c r="J34" i="832"/>
  <c r="Q56" i="258"/>
  <c r="C65" i="832"/>
  <c r="A65" i="832"/>
  <c r="AE64" i="832"/>
  <c r="AC64" i="832"/>
  <c r="AA64" i="832"/>
  <c r="Y64" i="832"/>
  <c r="V64" i="832"/>
  <c r="U64" i="832"/>
  <c r="T64" i="832"/>
  <c r="S64" i="832"/>
  <c r="Q64" i="832"/>
  <c r="P64" i="832"/>
  <c r="O64" i="832"/>
  <c r="N64" i="832"/>
  <c r="K64" i="832"/>
  <c r="I64" i="832"/>
  <c r="G64" i="832"/>
  <c r="E64" i="832"/>
  <c r="C64" i="832"/>
  <c r="A64" i="832"/>
  <c r="AE63" i="832"/>
  <c r="AC63" i="832"/>
  <c r="AA63" i="832"/>
  <c r="Y63" i="832"/>
  <c r="V63" i="832"/>
  <c r="U63" i="832"/>
  <c r="T63" i="832"/>
  <c r="S63" i="832"/>
  <c r="Q63" i="832"/>
  <c r="P63" i="832"/>
  <c r="O63" i="832"/>
  <c r="N63" i="832"/>
  <c r="K63" i="832"/>
  <c r="I63" i="832"/>
  <c r="G63" i="832"/>
  <c r="E63" i="832"/>
  <c r="C63" i="832"/>
  <c r="A63" i="832"/>
  <c r="AE62" i="832"/>
  <c r="AC62" i="832"/>
  <c r="AA62" i="832"/>
  <c r="Y62" i="832"/>
  <c r="V62" i="832"/>
  <c r="U62" i="832"/>
  <c r="T62" i="832"/>
  <c r="S62" i="832"/>
  <c r="Q62" i="832"/>
  <c r="P62" i="832"/>
  <c r="O62" i="832"/>
  <c r="N62" i="832"/>
  <c r="K62" i="832"/>
  <c r="I62" i="832"/>
  <c r="G62" i="832"/>
  <c r="E62" i="832"/>
  <c r="C62" i="832"/>
  <c r="A62" i="832"/>
  <c r="AE61" i="832"/>
  <c r="AC61" i="832"/>
  <c r="AA61" i="832"/>
  <c r="Y61" i="832"/>
  <c r="V61" i="832"/>
  <c r="U61" i="832"/>
  <c r="T61" i="832"/>
  <c r="S61" i="832"/>
  <c r="Q61" i="832"/>
  <c r="P61" i="832"/>
  <c r="O61" i="832"/>
  <c r="N61" i="832"/>
  <c r="K61" i="832"/>
  <c r="I61" i="832"/>
  <c r="O22" i="832"/>
  <c r="G61" i="832"/>
  <c r="E61" i="832"/>
  <c r="C61" i="832"/>
  <c r="A61" i="832"/>
  <c r="AE60" i="832"/>
  <c r="AC60" i="832"/>
  <c r="AA60" i="832"/>
  <c r="Y60" i="832"/>
  <c r="V60" i="832"/>
  <c r="U60" i="832"/>
  <c r="T60" i="832"/>
  <c r="S60" i="832"/>
  <c r="Q60" i="832"/>
  <c r="P60" i="832"/>
  <c r="O60" i="832"/>
  <c r="N60" i="832"/>
  <c r="K60" i="832"/>
  <c r="I60" i="832"/>
  <c r="G60" i="832"/>
  <c r="E60" i="832"/>
  <c r="C60" i="832"/>
  <c r="A60" i="832"/>
  <c r="AE59" i="832"/>
  <c r="AC59" i="832"/>
  <c r="AA59" i="832"/>
  <c r="Y59" i="832"/>
  <c r="V59" i="832"/>
  <c r="U59" i="832"/>
  <c r="T59" i="832"/>
  <c r="S59" i="832"/>
  <c r="Q59" i="832"/>
  <c r="P59" i="832"/>
  <c r="O59" i="832"/>
  <c r="N59" i="832"/>
  <c r="K59" i="832"/>
  <c r="I59" i="832"/>
  <c r="G59" i="832"/>
  <c r="E59" i="832"/>
  <c r="C59" i="832"/>
  <c r="A59" i="832"/>
  <c r="AE58" i="832"/>
  <c r="AC58" i="832"/>
  <c r="AA58" i="832"/>
  <c r="Y58" i="832"/>
  <c r="V58" i="832"/>
  <c r="U58" i="832"/>
  <c r="T58" i="832"/>
  <c r="S58" i="832"/>
  <c r="Q58" i="832"/>
  <c r="P58" i="832"/>
  <c r="O58" i="832"/>
  <c r="N58" i="832"/>
  <c r="K58" i="832"/>
  <c r="I58" i="832"/>
  <c r="G58" i="832"/>
  <c r="E58" i="832"/>
  <c r="C58" i="832"/>
  <c r="A58" i="832"/>
  <c r="AE57" i="832"/>
  <c r="AC57" i="832"/>
  <c r="AA57" i="832"/>
  <c r="Y57" i="832"/>
  <c r="V57" i="832"/>
  <c r="U57" i="832"/>
  <c r="T57" i="832"/>
  <c r="S57" i="832"/>
  <c r="Q57" i="832"/>
  <c r="P57" i="832"/>
  <c r="O57" i="832"/>
  <c r="N57" i="832"/>
  <c r="K57" i="832"/>
  <c r="I57" i="832"/>
  <c r="G57" i="832"/>
  <c r="E57" i="832"/>
  <c r="C57" i="832"/>
  <c r="A57" i="832"/>
  <c r="AE56" i="832"/>
  <c r="AC56" i="832"/>
  <c r="AA56" i="832"/>
  <c r="Y56" i="832"/>
  <c r="V56" i="832"/>
  <c r="U56" i="832"/>
  <c r="T56" i="832"/>
  <c r="S56" i="832"/>
  <c r="Q56" i="832"/>
  <c r="P56" i="832"/>
  <c r="O56" i="832"/>
  <c r="N56" i="832"/>
  <c r="K56" i="832"/>
  <c r="I56" i="832"/>
  <c r="G56" i="832"/>
  <c r="E56" i="832"/>
  <c r="C56" i="832"/>
  <c r="A56" i="832"/>
  <c r="J24" i="832"/>
  <c r="H56" i="258"/>
  <c r="AE55" i="832"/>
  <c r="AC55" i="832"/>
  <c r="AA55" i="832"/>
  <c r="Y55" i="832"/>
  <c r="V55" i="832"/>
  <c r="U55" i="832"/>
  <c r="T55" i="832"/>
  <c r="S55" i="832"/>
  <c r="Q55" i="832"/>
  <c r="P55" i="832"/>
  <c r="O55" i="832"/>
  <c r="N55" i="832"/>
  <c r="K55" i="832"/>
  <c r="I55" i="832"/>
  <c r="G55" i="832"/>
  <c r="E55" i="832"/>
  <c r="C55" i="832"/>
  <c r="A55" i="832"/>
  <c r="AE54" i="832"/>
  <c r="AC54" i="832"/>
  <c r="AC66" i="832"/>
  <c r="AA54" i="832"/>
  <c r="AA66" i="832"/>
  <c r="Y54" i="832"/>
  <c r="V54" i="832"/>
  <c r="U54" i="832"/>
  <c r="U66" i="832"/>
  <c r="T54" i="832"/>
  <c r="S54" i="832"/>
  <c r="Q54" i="832"/>
  <c r="P54" i="832"/>
  <c r="P66" i="832"/>
  <c r="O54" i="832"/>
  <c r="N54" i="832"/>
  <c r="N66" i="832"/>
  <c r="K54" i="832"/>
  <c r="I54" i="832"/>
  <c r="G54" i="832"/>
  <c r="E54" i="832"/>
  <c r="C54" i="832"/>
  <c r="A54" i="832"/>
  <c r="I24" i="832"/>
  <c r="J56" i="257"/>
  <c r="K37" i="832"/>
  <c r="T27" i="832"/>
  <c r="AF56" i="258"/>
  <c r="S27" i="832"/>
  <c r="AE56" i="258"/>
  <c r="A19" i="832"/>
  <c r="T20" i="832"/>
  <c r="Y16" i="832"/>
  <c r="X16" i="832"/>
  <c r="AG56" i="258"/>
  <c r="W16" i="832"/>
  <c r="V16" i="832"/>
  <c r="U16" i="832"/>
  <c r="S16" i="832"/>
  <c r="S20" i="832"/>
  <c r="X56" i="258"/>
  <c r="R16" i="832"/>
  <c r="Q16" i="832"/>
  <c r="P16" i="832"/>
  <c r="O16" i="832"/>
  <c r="N16" i="832"/>
  <c r="M16" i="832"/>
  <c r="L16" i="832"/>
  <c r="K16" i="832"/>
  <c r="J16" i="832"/>
  <c r="I16" i="832"/>
  <c r="H16" i="832"/>
  <c r="F16" i="832"/>
  <c r="E16" i="832"/>
  <c r="C16" i="832"/>
  <c r="H94" i="831"/>
  <c r="F94" i="831"/>
  <c r="D94" i="831"/>
  <c r="B94" i="831"/>
  <c r="K79" i="831"/>
  <c r="I79" i="831"/>
  <c r="E79" i="831"/>
  <c r="C79" i="831"/>
  <c r="A79" i="831"/>
  <c r="K78" i="831"/>
  <c r="I78" i="831"/>
  <c r="E78" i="831"/>
  <c r="C78" i="831"/>
  <c r="A78" i="831"/>
  <c r="K77" i="831"/>
  <c r="I77" i="831"/>
  <c r="E77" i="831"/>
  <c r="C77" i="831"/>
  <c r="A77" i="831"/>
  <c r="K76" i="831"/>
  <c r="I76" i="831"/>
  <c r="E76" i="831"/>
  <c r="C76" i="831"/>
  <c r="A76" i="831"/>
  <c r="K75" i="831"/>
  <c r="I75" i="831"/>
  <c r="E75" i="831"/>
  <c r="C75" i="831"/>
  <c r="A75" i="831"/>
  <c r="K74" i="831"/>
  <c r="I74" i="831"/>
  <c r="E74" i="831"/>
  <c r="C74" i="831"/>
  <c r="A74" i="831"/>
  <c r="K73" i="831"/>
  <c r="I73" i="831"/>
  <c r="E73" i="831"/>
  <c r="C73" i="831"/>
  <c r="A73" i="831"/>
  <c r="K72" i="831"/>
  <c r="I72" i="831"/>
  <c r="E72" i="831"/>
  <c r="C72" i="831"/>
  <c r="A72" i="831"/>
  <c r="K71" i="831"/>
  <c r="I71" i="831"/>
  <c r="E71" i="831"/>
  <c r="C71" i="831"/>
  <c r="A71" i="831"/>
  <c r="K70" i="831"/>
  <c r="I70" i="831"/>
  <c r="E70" i="831"/>
  <c r="C70" i="831"/>
  <c r="A70" i="831"/>
  <c r="K69" i="831"/>
  <c r="I69" i="831"/>
  <c r="E69" i="831"/>
  <c r="C69" i="831"/>
  <c r="A69" i="831"/>
  <c r="K68" i="831"/>
  <c r="I68" i="831"/>
  <c r="E68" i="831"/>
  <c r="C68" i="831"/>
  <c r="A68" i="831"/>
  <c r="AE65" i="831"/>
  <c r="AC65" i="831"/>
  <c r="AA65" i="831"/>
  <c r="Y65" i="831"/>
  <c r="V65" i="831"/>
  <c r="U65" i="831"/>
  <c r="T65" i="831"/>
  <c r="S65" i="831"/>
  <c r="Q65" i="831"/>
  <c r="P65" i="831"/>
  <c r="O65" i="831"/>
  <c r="N65" i="831"/>
  <c r="K65" i="831"/>
  <c r="I65" i="831"/>
  <c r="G65" i="831"/>
  <c r="E65" i="831"/>
  <c r="K34" i="831"/>
  <c r="R57" i="258"/>
  <c r="C65" i="831"/>
  <c r="A65" i="831"/>
  <c r="AE64" i="831"/>
  <c r="AC64" i="831"/>
  <c r="AA64" i="831"/>
  <c r="Y64" i="831"/>
  <c r="V64" i="831"/>
  <c r="U64" i="831"/>
  <c r="T64" i="831"/>
  <c r="S64" i="831"/>
  <c r="Q64" i="831"/>
  <c r="P64" i="831"/>
  <c r="O64" i="831"/>
  <c r="N64" i="831"/>
  <c r="K64" i="831"/>
  <c r="I64" i="831"/>
  <c r="G64" i="831"/>
  <c r="E64" i="831"/>
  <c r="C64" i="831"/>
  <c r="A64" i="831"/>
  <c r="AE63" i="831"/>
  <c r="AC63" i="831"/>
  <c r="AA63" i="831"/>
  <c r="Y63" i="831"/>
  <c r="V63" i="831"/>
  <c r="U63" i="831"/>
  <c r="T63" i="831"/>
  <c r="S63" i="831"/>
  <c r="Q63" i="831"/>
  <c r="P63" i="831"/>
  <c r="O63" i="831"/>
  <c r="N63" i="831"/>
  <c r="K63" i="831"/>
  <c r="I63" i="831"/>
  <c r="G63" i="831"/>
  <c r="E63" i="831"/>
  <c r="C63" i="831"/>
  <c r="A63" i="831"/>
  <c r="AE62" i="831"/>
  <c r="AC62" i="831"/>
  <c r="AA62" i="831"/>
  <c r="Y62" i="831"/>
  <c r="V62" i="831"/>
  <c r="U62" i="831"/>
  <c r="T62" i="831"/>
  <c r="S62" i="831"/>
  <c r="Q62" i="831"/>
  <c r="P62" i="831"/>
  <c r="O62" i="831"/>
  <c r="N62" i="831"/>
  <c r="K62" i="831"/>
  <c r="I62" i="831"/>
  <c r="G62" i="831"/>
  <c r="E62" i="831"/>
  <c r="C62" i="831"/>
  <c r="A62" i="831"/>
  <c r="AE61" i="831"/>
  <c r="AC61" i="831"/>
  <c r="AA61" i="831"/>
  <c r="Y61" i="831"/>
  <c r="V61" i="831"/>
  <c r="U61" i="831"/>
  <c r="T61" i="831"/>
  <c r="S61" i="831"/>
  <c r="Q61" i="831"/>
  <c r="P61" i="831"/>
  <c r="O61" i="831"/>
  <c r="N61" i="831"/>
  <c r="K61" i="831"/>
  <c r="I61" i="831"/>
  <c r="G61" i="831"/>
  <c r="E61" i="831"/>
  <c r="C61" i="831"/>
  <c r="A61" i="831"/>
  <c r="AE60" i="831"/>
  <c r="AC60" i="831"/>
  <c r="AA60" i="831"/>
  <c r="Y60" i="831"/>
  <c r="V60" i="831"/>
  <c r="U60" i="831"/>
  <c r="T60" i="831"/>
  <c r="S60" i="831"/>
  <c r="Q60" i="831"/>
  <c r="P60" i="831"/>
  <c r="O60" i="831"/>
  <c r="N60" i="831"/>
  <c r="K60" i="831"/>
  <c r="I60" i="831"/>
  <c r="G60" i="831"/>
  <c r="E60" i="831"/>
  <c r="C60" i="831"/>
  <c r="A60" i="831"/>
  <c r="AE59" i="831"/>
  <c r="AC59" i="831"/>
  <c r="AA59" i="831"/>
  <c r="Y59" i="831"/>
  <c r="V59" i="831"/>
  <c r="U59" i="831"/>
  <c r="T59" i="831"/>
  <c r="S59" i="831"/>
  <c r="Q59" i="831"/>
  <c r="P59" i="831"/>
  <c r="O59" i="831"/>
  <c r="N59" i="831"/>
  <c r="K59" i="831"/>
  <c r="I59" i="831"/>
  <c r="G59" i="831"/>
  <c r="E59" i="831"/>
  <c r="C59" i="831"/>
  <c r="A59" i="831"/>
  <c r="AE58" i="831"/>
  <c r="AC58" i="831"/>
  <c r="AA58" i="831"/>
  <c r="Y58" i="831"/>
  <c r="V58" i="831"/>
  <c r="U58" i="831"/>
  <c r="T58" i="831"/>
  <c r="S58" i="831"/>
  <c r="Q58" i="831"/>
  <c r="P58" i="831"/>
  <c r="O58" i="831"/>
  <c r="N58" i="831"/>
  <c r="K58" i="831"/>
  <c r="I58" i="831"/>
  <c r="G58" i="831"/>
  <c r="E58" i="831"/>
  <c r="C58" i="831"/>
  <c r="A58" i="831"/>
  <c r="AE57" i="831"/>
  <c r="AC57" i="831"/>
  <c r="AA57" i="831"/>
  <c r="Y57" i="831"/>
  <c r="V57" i="831"/>
  <c r="U57" i="831"/>
  <c r="T57" i="831"/>
  <c r="S57" i="831"/>
  <c r="Q57" i="831"/>
  <c r="P57" i="831"/>
  <c r="O57" i="831"/>
  <c r="N57" i="831"/>
  <c r="K57" i="831"/>
  <c r="I57" i="831"/>
  <c r="G57" i="831"/>
  <c r="E57" i="831"/>
  <c r="C57" i="831"/>
  <c r="A57" i="831"/>
  <c r="AE56" i="831"/>
  <c r="AC56" i="831"/>
  <c r="AA56" i="831"/>
  <c r="Y56" i="831"/>
  <c r="V56" i="831"/>
  <c r="U56" i="831"/>
  <c r="T56" i="831"/>
  <c r="S56" i="831"/>
  <c r="Q56" i="831"/>
  <c r="P56" i="831"/>
  <c r="O56" i="831"/>
  <c r="N56" i="831"/>
  <c r="K56" i="831"/>
  <c r="I56" i="831"/>
  <c r="G56" i="831"/>
  <c r="E56" i="831"/>
  <c r="C56" i="831"/>
  <c r="A56" i="831"/>
  <c r="K24" i="831"/>
  <c r="I57" i="258"/>
  <c r="AE55" i="831"/>
  <c r="AC55" i="831"/>
  <c r="AA55" i="831"/>
  <c r="Y55" i="831"/>
  <c r="V55" i="831"/>
  <c r="U55" i="831"/>
  <c r="T55" i="831"/>
  <c r="S55" i="831"/>
  <c r="Q55" i="831"/>
  <c r="P55" i="831"/>
  <c r="O55" i="831"/>
  <c r="N55" i="831"/>
  <c r="K55" i="831"/>
  <c r="I55" i="831"/>
  <c r="G55" i="831"/>
  <c r="E55" i="831"/>
  <c r="C55" i="831"/>
  <c r="J29" i="831"/>
  <c r="M57" i="258"/>
  <c r="A55" i="831"/>
  <c r="AE54" i="831"/>
  <c r="AC54" i="831"/>
  <c r="AA54" i="831"/>
  <c r="Y54" i="831"/>
  <c r="Y66" i="831"/>
  <c r="V54" i="831"/>
  <c r="U54" i="831"/>
  <c r="T54" i="831"/>
  <c r="T66" i="831"/>
  <c r="S54" i="831"/>
  <c r="Q54" i="831"/>
  <c r="P54" i="831"/>
  <c r="O54" i="831"/>
  <c r="N54" i="831"/>
  <c r="K54" i="831"/>
  <c r="Q25" i="831"/>
  <c r="I54" i="831"/>
  <c r="G54" i="831"/>
  <c r="E54" i="831"/>
  <c r="C54" i="831"/>
  <c r="A54" i="831"/>
  <c r="K37" i="831"/>
  <c r="T27" i="831"/>
  <c r="AF57" i="258"/>
  <c r="S27" i="831"/>
  <c r="AE57" i="258"/>
  <c r="A19" i="831"/>
  <c r="T20" i="831"/>
  <c r="Y16" i="831"/>
  <c r="X16" i="831"/>
  <c r="AG57" i="258"/>
  <c r="W16" i="831"/>
  <c r="V16" i="831"/>
  <c r="U16" i="831"/>
  <c r="S16" i="831"/>
  <c r="S20" i="831"/>
  <c r="X57" i="258"/>
  <c r="R16" i="831"/>
  <c r="Q16" i="831"/>
  <c r="P16" i="831"/>
  <c r="O16" i="831"/>
  <c r="N16" i="831"/>
  <c r="M16" i="831"/>
  <c r="L16" i="831"/>
  <c r="K16" i="831"/>
  <c r="J16" i="831"/>
  <c r="I16" i="831"/>
  <c r="H16" i="831"/>
  <c r="F16" i="831"/>
  <c r="E16" i="831"/>
  <c r="C16" i="831"/>
  <c r="H94" i="830"/>
  <c r="F94" i="830"/>
  <c r="D94" i="830"/>
  <c r="B94" i="830"/>
  <c r="K79" i="830"/>
  <c r="I79" i="830"/>
  <c r="E79" i="830"/>
  <c r="C79" i="830"/>
  <c r="A79" i="830"/>
  <c r="K78" i="830"/>
  <c r="I78" i="830"/>
  <c r="E78" i="830"/>
  <c r="C78" i="830"/>
  <c r="A78" i="830"/>
  <c r="K77" i="830"/>
  <c r="I77" i="830"/>
  <c r="E77" i="830"/>
  <c r="C77" i="830"/>
  <c r="A77" i="830"/>
  <c r="K76" i="830"/>
  <c r="I76" i="830"/>
  <c r="E76" i="830"/>
  <c r="C76" i="830"/>
  <c r="A76" i="830"/>
  <c r="K75" i="830"/>
  <c r="I75" i="830"/>
  <c r="E75" i="830"/>
  <c r="C75" i="830"/>
  <c r="A75" i="830"/>
  <c r="K74" i="830"/>
  <c r="I74" i="830"/>
  <c r="E74" i="830"/>
  <c r="C74" i="830"/>
  <c r="A74" i="830"/>
  <c r="K73" i="830"/>
  <c r="I73" i="830"/>
  <c r="E73" i="830"/>
  <c r="C73" i="830"/>
  <c r="A73" i="830"/>
  <c r="K72" i="830"/>
  <c r="I72" i="830"/>
  <c r="E72" i="830"/>
  <c r="C72" i="830"/>
  <c r="A72" i="830"/>
  <c r="K71" i="830"/>
  <c r="I71" i="830"/>
  <c r="E71" i="830"/>
  <c r="C71" i="830"/>
  <c r="A71" i="830"/>
  <c r="K70" i="830"/>
  <c r="I70" i="830"/>
  <c r="E70" i="830"/>
  <c r="C70" i="830"/>
  <c r="A70" i="830"/>
  <c r="K69" i="830"/>
  <c r="I69" i="830"/>
  <c r="E69" i="830"/>
  <c r="C69" i="830"/>
  <c r="A69" i="830"/>
  <c r="K68" i="830"/>
  <c r="I68" i="830"/>
  <c r="E68" i="830"/>
  <c r="C68" i="830"/>
  <c r="A68" i="830"/>
  <c r="AE65" i="830"/>
  <c r="AC65" i="830"/>
  <c r="AA65" i="830"/>
  <c r="Y65" i="830"/>
  <c r="V65" i="830"/>
  <c r="U65" i="830"/>
  <c r="T65" i="830"/>
  <c r="S65" i="830"/>
  <c r="Q65" i="830"/>
  <c r="P65" i="830"/>
  <c r="O65" i="830"/>
  <c r="N65" i="830"/>
  <c r="K65" i="830"/>
  <c r="I65" i="830"/>
  <c r="G65" i="830"/>
  <c r="E65" i="830"/>
  <c r="C65" i="830"/>
  <c r="A65" i="830"/>
  <c r="AE64" i="830"/>
  <c r="AC64" i="830"/>
  <c r="AA64" i="830"/>
  <c r="Y64" i="830"/>
  <c r="V64" i="830"/>
  <c r="U64" i="830"/>
  <c r="T64" i="830"/>
  <c r="S64" i="830"/>
  <c r="Q64" i="830"/>
  <c r="P64" i="830"/>
  <c r="O64" i="830"/>
  <c r="N64" i="830"/>
  <c r="K64" i="830"/>
  <c r="I64" i="830"/>
  <c r="G64" i="830"/>
  <c r="E64" i="830"/>
  <c r="C64" i="830"/>
  <c r="A64" i="830"/>
  <c r="AE63" i="830"/>
  <c r="AC63" i="830"/>
  <c r="AA63" i="830"/>
  <c r="Y63" i="830"/>
  <c r="V63" i="830"/>
  <c r="U63" i="830"/>
  <c r="T63" i="830"/>
  <c r="S63" i="830"/>
  <c r="Q63" i="830"/>
  <c r="P63" i="830"/>
  <c r="O63" i="830"/>
  <c r="N63" i="830"/>
  <c r="K63" i="830"/>
  <c r="I63" i="830"/>
  <c r="G63" i="830"/>
  <c r="E63" i="830"/>
  <c r="C63" i="830"/>
  <c r="A63" i="830"/>
  <c r="AE62" i="830"/>
  <c r="AC62" i="830"/>
  <c r="AA62" i="830"/>
  <c r="Y62" i="830"/>
  <c r="V62" i="830"/>
  <c r="U62" i="830"/>
  <c r="T62" i="830"/>
  <c r="S62" i="830"/>
  <c r="Q62" i="830"/>
  <c r="P62" i="830"/>
  <c r="O62" i="830"/>
  <c r="N62" i="830"/>
  <c r="K62" i="830"/>
  <c r="I62" i="830"/>
  <c r="G62" i="830"/>
  <c r="E62" i="830"/>
  <c r="C62" i="830"/>
  <c r="A62" i="830"/>
  <c r="AE61" i="830"/>
  <c r="AC61" i="830"/>
  <c r="AA61" i="830"/>
  <c r="Y61" i="830"/>
  <c r="V61" i="830"/>
  <c r="U61" i="830"/>
  <c r="T61" i="830"/>
  <c r="S61" i="830"/>
  <c r="Q61" i="830"/>
  <c r="P61" i="830"/>
  <c r="O61" i="830"/>
  <c r="N61" i="830"/>
  <c r="K61" i="830"/>
  <c r="I61" i="830"/>
  <c r="G61" i="830"/>
  <c r="E61" i="830"/>
  <c r="C61" i="830"/>
  <c r="A61" i="830"/>
  <c r="AE60" i="830"/>
  <c r="AC60" i="830"/>
  <c r="AA60" i="830"/>
  <c r="Y60" i="830"/>
  <c r="V60" i="830"/>
  <c r="U60" i="830"/>
  <c r="T60" i="830"/>
  <c r="S60" i="830"/>
  <c r="Q60" i="830"/>
  <c r="P60" i="830"/>
  <c r="O60" i="830"/>
  <c r="N60" i="830"/>
  <c r="K60" i="830"/>
  <c r="I60" i="830"/>
  <c r="G60" i="830"/>
  <c r="E60" i="830"/>
  <c r="C60" i="830"/>
  <c r="A60" i="830"/>
  <c r="AE59" i="830"/>
  <c r="AC59" i="830"/>
  <c r="AA59" i="830"/>
  <c r="Y59" i="830"/>
  <c r="V59" i="830"/>
  <c r="U59" i="830"/>
  <c r="T59" i="830"/>
  <c r="S59" i="830"/>
  <c r="Q59" i="830"/>
  <c r="P59" i="830"/>
  <c r="O59" i="830"/>
  <c r="N59" i="830"/>
  <c r="K59" i="830"/>
  <c r="I59" i="830"/>
  <c r="G59" i="830"/>
  <c r="E59" i="830"/>
  <c r="C59" i="830"/>
  <c r="A59" i="830"/>
  <c r="AE58" i="830"/>
  <c r="AC58" i="830"/>
  <c r="AA58" i="830"/>
  <c r="Y58" i="830"/>
  <c r="V58" i="830"/>
  <c r="U58" i="830"/>
  <c r="T58" i="830"/>
  <c r="S58" i="830"/>
  <c r="Q58" i="830"/>
  <c r="P58" i="830"/>
  <c r="O58" i="830"/>
  <c r="N58" i="830"/>
  <c r="K58" i="830"/>
  <c r="I58" i="830"/>
  <c r="G58" i="830"/>
  <c r="E58" i="830"/>
  <c r="C58" i="830"/>
  <c r="A58" i="830"/>
  <c r="AE57" i="830"/>
  <c r="AC57" i="830"/>
  <c r="AA57" i="830"/>
  <c r="Y57" i="830"/>
  <c r="V57" i="830"/>
  <c r="U57" i="830"/>
  <c r="T57" i="830"/>
  <c r="S57" i="830"/>
  <c r="Q57" i="830"/>
  <c r="P57" i="830"/>
  <c r="O57" i="830"/>
  <c r="N57" i="830"/>
  <c r="K57" i="830"/>
  <c r="I57" i="830"/>
  <c r="G57" i="830"/>
  <c r="E57" i="830"/>
  <c r="C57" i="830"/>
  <c r="A57" i="830"/>
  <c r="AE56" i="830"/>
  <c r="AC56" i="830"/>
  <c r="AA56" i="830"/>
  <c r="Y56" i="830"/>
  <c r="V56" i="830"/>
  <c r="U56" i="830"/>
  <c r="T56" i="830"/>
  <c r="S56" i="830"/>
  <c r="Q56" i="830"/>
  <c r="P56" i="830"/>
  <c r="O56" i="830"/>
  <c r="N56" i="830"/>
  <c r="K56" i="830"/>
  <c r="I56" i="830"/>
  <c r="G56" i="830"/>
  <c r="E56" i="830"/>
  <c r="I34" i="830"/>
  <c r="T58" i="257"/>
  <c r="C56" i="830"/>
  <c r="A56" i="830"/>
  <c r="AE55" i="830"/>
  <c r="AC55" i="830"/>
  <c r="AA55" i="830"/>
  <c r="Y55" i="830"/>
  <c r="V55" i="830"/>
  <c r="U55" i="830"/>
  <c r="T55" i="830"/>
  <c r="S55" i="830"/>
  <c r="Q55" i="830"/>
  <c r="P55" i="830"/>
  <c r="O55" i="830"/>
  <c r="N55" i="830"/>
  <c r="K55" i="830"/>
  <c r="I55" i="830"/>
  <c r="G55" i="830"/>
  <c r="E55" i="830"/>
  <c r="C55" i="830"/>
  <c r="A55" i="830"/>
  <c r="AE54" i="830"/>
  <c r="AC54" i="830"/>
  <c r="AA54" i="830"/>
  <c r="Y54" i="830"/>
  <c r="V54" i="830"/>
  <c r="U54" i="830"/>
  <c r="T54" i="830"/>
  <c r="S54" i="830"/>
  <c r="Q54" i="830"/>
  <c r="P54" i="830"/>
  <c r="O54" i="830"/>
  <c r="N54" i="830"/>
  <c r="N66" i="830"/>
  <c r="K54" i="830"/>
  <c r="I54" i="830"/>
  <c r="G54" i="830"/>
  <c r="E54" i="830"/>
  <c r="C54" i="830"/>
  <c r="A54" i="830"/>
  <c r="T27" i="830"/>
  <c r="AF58" i="258"/>
  <c r="S27" i="830"/>
  <c r="AE58" i="258"/>
  <c r="A19" i="830"/>
  <c r="T20" i="830"/>
  <c r="Y16" i="830"/>
  <c r="X16" i="830"/>
  <c r="AG58" i="258"/>
  <c r="W16" i="830"/>
  <c r="V16" i="830"/>
  <c r="AA58" i="258"/>
  <c r="U16" i="830"/>
  <c r="S16" i="830"/>
  <c r="S20" i="830"/>
  <c r="X58" i="258"/>
  <c r="R16" i="830"/>
  <c r="Q16" i="830"/>
  <c r="P16" i="830"/>
  <c r="O16" i="830"/>
  <c r="N16" i="830"/>
  <c r="M16" i="830"/>
  <c r="L16" i="830"/>
  <c r="K16" i="830"/>
  <c r="J16" i="830"/>
  <c r="I16" i="830"/>
  <c r="H16" i="830"/>
  <c r="F16" i="830"/>
  <c r="E16" i="830"/>
  <c r="C16" i="830"/>
  <c r="H94" i="829"/>
  <c r="F94" i="829"/>
  <c r="D94" i="829"/>
  <c r="B94" i="829"/>
  <c r="K79" i="829"/>
  <c r="I79" i="829"/>
  <c r="E79" i="829"/>
  <c r="C79" i="829"/>
  <c r="A79" i="829"/>
  <c r="K78" i="829"/>
  <c r="I78" i="829"/>
  <c r="E78" i="829"/>
  <c r="C78" i="829"/>
  <c r="A78" i="829"/>
  <c r="K77" i="829"/>
  <c r="I77" i="829"/>
  <c r="E77" i="829"/>
  <c r="C77" i="829"/>
  <c r="A77" i="829"/>
  <c r="K76" i="829"/>
  <c r="I76" i="829"/>
  <c r="E76" i="829"/>
  <c r="C76" i="829"/>
  <c r="A76" i="829"/>
  <c r="K75" i="829"/>
  <c r="I75" i="829"/>
  <c r="E75" i="829"/>
  <c r="C75" i="829"/>
  <c r="A75" i="829"/>
  <c r="K74" i="829"/>
  <c r="I74" i="829"/>
  <c r="E74" i="829"/>
  <c r="C74" i="829"/>
  <c r="A74" i="829"/>
  <c r="K73" i="829"/>
  <c r="I73" i="829"/>
  <c r="E73" i="829"/>
  <c r="C73" i="829"/>
  <c r="A73" i="829"/>
  <c r="K72" i="829"/>
  <c r="I72" i="829"/>
  <c r="E72" i="829"/>
  <c r="C72" i="829"/>
  <c r="A72" i="829"/>
  <c r="K71" i="829"/>
  <c r="I71" i="829"/>
  <c r="E71" i="829"/>
  <c r="C71" i="829"/>
  <c r="A71" i="829"/>
  <c r="K70" i="829"/>
  <c r="I70" i="829"/>
  <c r="E70" i="829"/>
  <c r="C70" i="829"/>
  <c r="A70" i="829"/>
  <c r="K69" i="829"/>
  <c r="I69" i="829"/>
  <c r="E69" i="829"/>
  <c r="C69" i="829"/>
  <c r="A69" i="829"/>
  <c r="K68" i="829"/>
  <c r="I68" i="829"/>
  <c r="E68" i="829"/>
  <c r="C68" i="829"/>
  <c r="A68" i="829"/>
  <c r="AE65" i="829"/>
  <c r="AC65" i="829"/>
  <c r="AA65" i="829"/>
  <c r="Y65" i="829"/>
  <c r="V65" i="829"/>
  <c r="U65" i="829"/>
  <c r="T65" i="829"/>
  <c r="S65" i="829"/>
  <c r="Q65" i="829"/>
  <c r="P65" i="829"/>
  <c r="O65" i="829"/>
  <c r="N65" i="829"/>
  <c r="K65" i="829"/>
  <c r="I65" i="829"/>
  <c r="G65" i="829"/>
  <c r="E65" i="829"/>
  <c r="C65" i="829"/>
  <c r="A65" i="829"/>
  <c r="AE64" i="829"/>
  <c r="AC64" i="829"/>
  <c r="AA64" i="829"/>
  <c r="Y64" i="829"/>
  <c r="V64" i="829"/>
  <c r="U64" i="829"/>
  <c r="T64" i="829"/>
  <c r="S64" i="829"/>
  <c r="Q64" i="829"/>
  <c r="P64" i="829"/>
  <c r="O64" i="829"/>
  <c r="N64" i="829"/>
  <c r="K64" i="829"/>
  <c r="I64" i="829"/>
  <c r="G64" i="829"/>
  <c r="E64" i="829"/>
  <c r="C64" i="829"/>
  <c r="A64" i="829"/>
  <c r="AE63" i="829"/>
  <c r="AC63" i="829"/>
  <c r="AA63" i="829"/>
  <c r="Y63" i="829"/>
  <c r="V63" i="829"/>
  <c r="U63" i="829"/>
  <c r="T63" i="829"/>
  <c r="S63" i="829"/>
  <c r="Q63" i="829"/>
  <c r="P63" i="829"/>
  <c r="O63" i="829"/>
  <c r="N63" i="829"/>
  <c r="K63" i="829"/>
  <c r="I63" i="829"/>
  <c r="G63" i="829"/>
  <c r="E63" i="829"/>
  <c r="C63" i="829"/>
  <c r="A63" i="829"/>
  <c r="AE62" i="829"/>
  <c r="AC62" i="829"/>
  <c r="AA62" i="829"/>
  <c r="Y62" i="829"/>
  <c r="V62" i="829"/>
  <c r="U62" i="829"/>
  <c r="T62" i="829"/>
  <c r="S62" i="829"/>
  <c r="Q62" i="829"/>
  <c r="P62" i="829"/>
  <c r="O62" i="829"/>
  <c r="N62" i="829"/>
  <c r="K62" i="829"/>
  <c r="I62" i="829"/>
  <c r="G62" i="829"/>
  <c r="E62" i="829"/>
  <c r="C62" i="829"/>
  <c r="A62" i="829"/>
  <c r="AE61" i="829"/>
  <c r="AC61" i="829"/>
  <c r="AA61" i="829"/>
  <c r="Y61" i="829"/>
  <c r="V61" i="829"/>
  <c r="U61" i="829"/>
  <c r="T61" i="829"/>
  <c r="S61" i="829"/>
  <c r="Q61" i="829"/>
  <c r="P61" i="829"/>
  <c r="O61" i="829"/>
  <c r="N61" i="829"/>
  <c r="K61" i="829"/>
  <c r="I61" i="829"/>
  <c r="O22" i="829"/>
  <c r="G61" i="829"/>
  <c r="E61" i="829"/>
  <c r="C61" i="829"/>
  <c r="A61" i="829"/>
  <c r="AE60" i="829"/>
  <c r="AC60" i="829"/>
  <c r="AA60" i="829"/>
  <c r="Y60" i="829"/>
  <c r="V60" i="829"/>
  <c r="U60" i="829"/>
  <c r="T60" i="829"/>
  <c r="S60" i="829"/>
  <c r="Q60" i="829"/>
  <c r="P60" i="829"/>
  <c r="O60" i="829"/>
  <c r="N60" i="829"/>
  <c r="K60" i="829"/>
  <c r="I60" i="829"/>
  <c r="G60" i="829"/>
  <c r="E60" i="829"/>
  <c r="C60" i="829"/>
  <c r="A60" i="829"/>
  <c r="AE59" i="829"/>
  <c r="AC59" i="829"/>
  <c r="AA59" i="829"/>
  <c r="Y59" i="829"/>
  <c r="V59" i="829"/>
  <c r="U59" i="829"/>
  <c r="T59" i="829"/>
  <c r="S59" i="829"/>
  <c r="Q59" i="829"/>
  <c r="P59" i="829"/>
  <c r="O59" i="829"/>
  <c r="N59" i="829"/>
  <c r="K59" i="829"/>
  <c r="I59" i="829"/>
  <c r="G59" i="829"/>
  <c r="E59" i="829"/>
  <c r="C59" i="829"/>
  <c r="A59" i="829"/>
  <c r="AE58" i="829"/>
  <c r="AC58" i="829"/>
  <c r="AA58" i="829"/>
  <c r="Y58" i="829"/>
  <c r="V58" i="829"/>
  <c r="U58" i="829"/>
  <c r="T58" i="829"/>
  <c r="S58" i="829"/>
  <c r="Q58" i="829"/>
  <c r="P58" i="829"/>
  <c r="O58" i="829"/>
  <c r="N58" i="829"/>
  <c r="K58" i="829"/>
  <c r="I58" i="829"/>
  <c r="G58" i="829"/>
  <c r="E58" i="829"/>
  <c r="K34" i="829"/>
  <c r="R59" i="258"/>
  <c r="C58" i="829"/>
  <c r="A58" i="829"/>
  <c r="AE57" i="829"/>
  <c r="AC57" i="829"/>
  <c r="AA57" i="829"/>
  <c r="Y57" i="829"/>
  <c r="V57" i="829"/>
  <c r="U57" i="829"/>
  <c r="T57" i="829"/>
  <c r="S57" i="829"/>
  <c r="Q57" i="829"/>
  <c r="P57" i="829"/>
  <c r="O57" i="829"/>
  <c r="N57" i="829"/>
  <c r="K57" i="829"/>
  <c r="I57" i="829"/>
  <c r="G57" i="829"/>
  <c r="E57" i="829"/>
  <c r="C57" i="829"/>
  <c r="A57" i="829"/>
  <c r="AE56" i="829"/>
  <c r="AC56" i="829"/>
  <c r="AA56" i="829"/>
  <c r="Y56" i="829"/>
  <c r="V56" i="829"/>
  <c r="U56" i="829"/>
  <c r="T56" i="829"/>
  <c r="S56" i="829"/>
  <c r="Q56" i="829"/>
  <c r="P56" i="829"/>
  <c r="O56" i="829"/>
  <c r="N56" i="829"/>
  <c r="K56" i="829"/>
  <c r="I56" i="829"/>
  <c r="G56" i="829"/>
  <c r="E56" i="829"/>
  <c r="C56" i="829"/>
  <c r="A56" i="829"/>
  <c r="AE55" i="829"/>
  <c r="AC55" i="829"/>
  <c r="AA55" i="829"/>
  <c r="Y55" i="829"/>
  <c r="V55" i="829"/>
  <c r="U55" i="829"/>
  <c r="T55" i="829"/>
  <c r="S55" i="829"/>
  <c r="Q55" i="829"/>
  <c r="P55" i="829"/>
  <c r="O55" i="829"/>
  <c r="N55" i="829"/>
  <c r="K55" i="829"/>
  <c r="I55" i="829"/>
  <c r="G55" i="829"/>
  <c r="E55" i="829"/>
  <c r="C55" i="829"/>
  <c r="A55" i="829"/>
  <c r="AE54" i="829"/>
  <c r="AC54" i="829"/>
  <c r="AA54" i="829"/>
  <c r="Y54" i="829"/>
  <c r="V54" i="829"/>
  <c r="U54" i="829"/>
  <c r="T54" i="829"/>
  <c r="S54" i="829"/>
  <c r="S66" i="829"/>
  <c r="Q54" i="829"/>
  <c r="P54" i="829"/>
  <c r="O54" i="829"/>
  <c r="N54" i="829"/>
  <c r="K54" i="829"/>
  <c r="I54" i="829"/>
  <c r="G54" i="829"/>
  <c r="E54" i="829"/>
  <c r="J34" i="829"/>
  <c r="C54" i="829"/>
  <c r="A54" i="829"/>
  <c r="T27" i="829"/>
  <c r="AF59" i="258"/>
  <c r="S27" i="829"/>
  <c r="AE59" i="258"/>
  <c r="N25" i="829"/>
  <c r="C59" i="258"/>
  <c r="A19" i="829"/>
  <c r="T20" i="829"/>
  <c r="Y16" i="829"/>
  <c r="X16" i="829"/>
  <c r="AG59" i="258"/>
  <c r="W16" i="829"/>
  <c r="V16" i="829"/>
  <c r="AA59" i="258"/>
  <c r="U16" i="829"/>
  <c r="S16" i="829"/>
  <c r="S20" i="829"/>
  <c r="X59" i="258"/>
  <c r="R16" i="829"/>
  <c r="Q16" i="829"/>
  <c r="P16" i="829"/>
  <c r="O16" i="829"/>
  <c r="N16" i="829"/>
  <c r="M16" i="829"/>
  <c r="L16" i="829"/>
  <c r="K16" i="829"/>
  <c r="J16" i="829"/>
  <c r="I16" i="829"/>
  <c r="H16" i="829"/>
  <c r="F16" i="829"/>
  <c r="E16" i="829"/>
  <c r="C16" i="829"/>
  <c r="H94" i="828"/>
  <c r="F94" i="828"/>
  <c r="D94" i="828"/>
  <c r="B94" i="828"/>
  <c r="K79" i="828"/>
  <c r="I79" i="828"/>
  <c r="E79" i="828"/>
  <c r="C79" i="828"/>
  <c r="A79" i="828"/>
  <c r="K78" i="828"/>
  <c r="I78" i="828"/>
  <c r="E78" i="828"/>
  <c r="C78" i="828"/>
  <c r="A78" i="828"/>
  <c r="K77" i="828"/>
  <c r="I77" i="828"/>
  <c r="E77" i="828"/>
  <c r="C77" i="828"/>
  <c r="A77" i="828"/>
  <c r="K76" i="828"/>
  <c r="I76" i="828"/>
  <c r="E76" i="828"/>
  <c r="C76" i="828"/>
  <c r="A76" i="828"/>
  <c r="K75" i="828"/>
  <c r="I75" i="828"/>
  <c r="E75" i="828"/>
  <c r="C75" i="828"/>
  <c r="A75" i="828"/>
  <c r="K74" i="828"/>
  <c r="I74" i="828"/>
  <c r="E74" i="828"/>
  <c r="C74" i="828"/>
  <c r="A74" i="828"/>
  <c r="K73" i="828"/>
  <c r="I73" i="828"/>
  <c r="E73" i="828"/>
  <c r="C73" i="828"/>
  <c r="A73" i="828"/>
  <c r="K72" i="828"/>
  <c r="I72" i="828"/>
  <c r="E72" i="828"/>
  <c r="C72" i="828"/>
  <c r="A72" i="828"/>
  <c r="K71" i="828"/>
  <c r="I71" i="828"/>
  <c r="E71" i="828"/>
  <c r="C71" i="828"/>
  <c r="A71" i="828"/>
  <c r="K70" i="828"/>
  <c r="I70" i="828"/>
  <c r="E70" i="828"/>
  <c r="C70" i="828"/>
  <c r="A70" i="828"/>
  <c r="K69" i="828"/>
  <c r="I69" i="828"/>
  <c r="E69" i="828"/>
  <c r="C69" i="828"/>
  <c r="A69" i="828"/>
  <c r="K68" i="828"/>
  <c r="I68" i="828"/>
  <c r="E68" i="828"/>
  <c r="C68" i="828"/>
  <c r="A68" i="828"/>
  <c r="AE65" i="828"/>
  <c r="AC65" i="828"/>
  <c r="AA65" i="828"/>
  <c r="Y65" i="828"/>
  <c r="V65" i="828"/>
  <c r="U65" i="828"/>
  <c r="T65" i="828"/>
  <c r="S65" i="828"/>
  <c r="Q65" i="828"/>
  <c r="P65" i="828"/>
  <c r="O65" i="828"/>
  <c r="N65" i="828"/>
  <c r="K65" i="828"/>
  <c r="I65" i="828"/>
  <c r="G65" i="828"/>
  <c r="E65" i="828"/>
  <c r="C65" i="828"/>
  <c r="A65" i="828"/>
  <c r="AE64" i="828"/>
  <c r="AC64" i="828"/>
  <c r="AA64" i="828"/>
  <c r="Y64" i="828"/>
  <c r="V64" i="828"/>
  <c r="U64" i="828"/>
  <c r="T64" i="828"/>
  <c r="S64" i="828"/>
  <c r="Q64" i="828"/>
  <c r="P64" i="828"/>
  <c r="O64" i="828"/>
  <c r="N64" i="828"/>
  <c r="K64" i="828"/>
  <c r="I64" i="828"/>
  <c r="G64" i="828"/>
  <c r="E64" i="828"/>
  <c r="C64" i="828"/>
  <c r="A64" i="828"/>
  <c r="AE63" i="828"/>
  <c r="AC63" i="828"/>
  <c r="AA63" i="828"/>
  <c r="Y63" i="828"/>
  <c r="V63" i="828"/>
  <c r="U63" i="828"/>
  <c r="T63" i="828"/>
  <c r="S63" i="828"/>
  <c r="Q63" i="828"/>
  <c r="P63" i="828"/>
  <c r="O63" i="828"/>
  <c r="N63" i="828"/>
  <c r="K63" i="828"/>
  <c r="I63" i="828"/>
  <c r="G63" i="828"/>
  <c r="E63" i="828"/>
  <c r="C63" i="828"/>
  <c r="A63" i="828"/>
  <c r="AE62" i="828"/>
  <c r="AC62" i="828"/>
  <c r="AA62" i="828"/>
  <c r="Y62" i="828"/>
  <c r="V62" i="828"/>
  <c r="U62" i="828"/>
  <c r="T62" i="828"/>
  <c r="S62" i="828"/>
  <c r="Q62" i="828"/>
  <c r="P62" i="828"/>
  <c r="O62" i="828"/>
  <c r="N62" i="828"/>
  <c r="K62" i="828"/>
  <c r="I62" i="828"/>
  <c r="G62" i="828"/>
  <c r="E62" i="828"/>
  <c r="C62" i="828"/>
  <c r="A62" i="828"/>
  <c r="AE61" i="828"/>
  <c r="AC61" i="828"/>
  <c r="AA61" i="828"/>
  <c r="Y61" i="828"/>
  <c r="V61" i="828"/>
  <c r="U61" i="828"/>
  <c r="T61" i="828"/>
  <c r="S61" i="828"/>
  <c r="Q61" i="828"/>
  <c r="P61" i="828"/>
  <c r="O61" i="828"/>
  <c r="N61" i="828"/>
  <c r="K61" i="828"/>
  <c r="I61" i="828"/>
  <c r="G61" i="828"/>
  <c r="E61" i="828"/>
  <c r="C61" i="828"/>
  <c r="A61" i="828"/>
  <c r="AE60" i="828"/>
  <c r="AC60" i="828"/>
  <c r="AA60" i="828"/>
  <c r="Y60" i="828"/>
  <c r="V60" i="828"/>
  <c r="U60" i="828"/>
  <c r="T60" i="828"/>
  <c r="S60" i="828"/>
  <c r="Q60" i="828"/>
  <c r="P60" i="828"/>
  <c r="O60" i="828"/>
  <c r="N60" i="828"/>
  <c r="K60" i="828"/>
  <c r="I60" i="828"/>
  <c r="G60" i="828"/>
  <c r="E60" i="828"/>
  <c r="C60" i="828"/>
  <c r="A60" i="828"/>
  <c r="AE59" i="828"/>
  <c r="AC59" i="828"/>
  <c r="AA59" i="828"/>
  <c r="Y59" i="828"/>
  <c r="V59" i="828"/>
  <c r="U59" i="828"/>
  <c r="T59" i="828"/>
  <c r="S59" i="828"/>
  <c r="Q59" i="828"/>
  <c r="P59" i="828"/>
  <c r="O59" i="828"/>
  <c r="N59" i="828"/>
  <c r="K59" i="828"/>
  <c r="I59" i="828"/>
  <c r="G59" i="828"/>
  <c r="E59" i="828"/>
  <c r="C59" i="828"/>
  <c r="A59" i="828"/>
  <c r="AE58" i="828"/>
  <c r="AC58" i="828"/>
  <c r="AA58" i="828"/>
  <c r="Y58" i="828"/>
  <c r="V58" i="828"/>
  <c r="U58" i="828"/>
  <c r="T58" i="828"/>
  <c r="S58" i="828"/>
  <c r="Q58" i="828"/>
  <c r="P58" i="828"/>
  <c r="O58" i="828"/>
  <c r="N58" i="828"/>
  <c r="K58" i="828"/>
  <c r="I58" i="828"/>
  <c r="G58" i="828"/>
  <c r="E58" i="828"/>
  <c r="C58" i="828"/>
  <c r="A58" i="828"/>
  <c r="AE57" i="828"/>
  <c r="AC57" i="828"/>
  <c r="AA57" i="828"/>
  <c r="Y57" i="828"/>
  <c r="V57" i="828"/>
  <c r="U57" i="828"/>
  <c r="T57" i="828"/>
  <c r="S57" i="828"/>
  <c r="Q57" i="828"/>
  <c r="P57" i="828"/>
  <c r="O57" i="828"/>
  <c r="N57" i="828"/>
  <c r="K57" i="828"/>
  <c r="I57" i="828"/>
  <c r="G57" i="828"/>
  <c r="E57" i="828"/>
  <c r="C57" i="828"/>
  <c r="A57" i="828"/>
  <c r="AE56" i="828"/>
  <c r="AC56" i="828"/>
  <c r="AA56" i="828"/>
  <c r="Y56" i="828"/>
  <c r="V56" i="828"/>
  <c r="U56" i="828"/>
  <c r="T56" i="828"/>
  <c r="S56" i="828"/>
  <c r="Q56" i="828"/>
  <c r="P56" i="828"/>
  <c r="O56" i="828"/>
  <c r="N56" i="828"/>
  <c r="K56" i="828"/>
  <c r="I56" i="828"/>
  <c r="G56" i="828"/>
  <c r="E56" i="828"/>
  <c r="C56" i="828"/>
  <c r="A56" i="828"/>
  <c r="AE55" i="828"/>
  <c r="AC55" i="828"/>
  <c r="AA55" i="828"/>
  <c r="Y55" i="828"/>
  <c r="V55" i="828"/>
  <c r="U55" i="828"/>
  <c r="T55" i="828"/>
  <c r="S55" i="828"/>
  <c r="Q55" i="828"/>
  <c r="P55" i="828"/>
  <c r="O55" i="828"/>
  <c r="N55" i="828"/>
  <c r="K55" i="828"/>
  <c r="I55" i="828"/>
  <c r="Q22" i="828"/>
  <c r="G55" i="828"/>
  <c r="E55" i="828"/>
  <c r="C55" i="828"/>
  <c r="J29" i="828"/>
  <c r="P60" i="257"/>
  <c r="A55" i="828"/>
  <c r="AE54" i="828"/>
  <c r="AC54" i="828"/>
  <c r="AA54" i="828"/>
  <c r="Y54" i="828"/>
  <c r="V54" i="828"/>
  <c r="U54" i="828"/>
  <c r="T54" i="828"/>
  <c r="S54" i="828"/>
  <c r="Q54" i="828"/>
  <c r="P54" i="828"/>
  <c r="O54" i="828"/>
  <c r="N54" i="828"/>
  <c r="K54" i="828"/>
  <c r="I54" i="828"/>
  <c r="G54" i="828"/>
  <c r="E54" i="828"/>
  <c r="C54" i="828"/>
  <c r="A54" i="828"/>
  <c r="S30" i="828"/>
  <c r="AB60" i="258"/>
  <c r="E24" i="259"/>
  <c r="D29" i="828"/>
  <c r="D60" i="258"/>
  <c r="E5" i="259"/>
  <c r="T27" i="828"/>
  <c r="AF60" i="258"/>
  <c r="E28" i="259"/>
  <c r="S27" i="828"/>
  <c r="AE60" i="258"/>
  <c r="E27" i="259"/>
  <c r="A19" i="828"/>
  <c r="T20" i="828"/>
  <c r="Y16" i="828"/>
  <c r="X16" i="828"/>
  <c r="AG60" i="258"/>
  <c r="E29" i="259"/>
  <c r="W16" i="828"/>
  <c r="V16" i="828"/>
  <c r="AA60" i="258"/>
  <c r="E23" i="259"/>
  <c r="U16" i="828"/>
  <c r="S16" i="828"/>
  <c r="S20" i="828"/>
  <c r="X60" i="258"/>
  <c r="E20" i="259"/>
  <c r="R16" i="828"/>
  <c r="Q16" i="828"/>
  <c r="P16" i="828"/>
  <c r="O16" i="828"/>
  <c r="N16" i="828"/>
  <c r="M16" i="828"/>
  <c r="L16" i="828"/>
  <c r="K16" i="828"/>
  <c r="J16" i="828"/>
  <c r="I16" i="828"/>
  <c r="H16" i="828"/>
  <c r="F16" i="828"/>
  <c r="E16" i="828"/>
  <c r="C16" i="828"/>
  <c r="K27" i="259"/>
  <c r="K28" i="259"/>
  <c r="K29" i="259"/>
  <c r="AA66" i="853"/>
  <c r="K23" i="259"/>
  <c r="K20" i="259"/>
  <c r="J37" i="853"/>
  <c r="S34" i="258"/>
  <c r="P66" i="855"/>
  <c r="Q22" i="861"/>
  <c r="O22" i="861"/>
  <c r="I24" i="868"/>
  <c r="J19" i="257"/>
  <c r="N4" i="259"/>
  <c r="N3" i="259"/>
  <c r="AA66" i="834"/>
  <c r="J24" i="834"/>
  <c r="H54" i="258"/>
  <c r="J37" i="834"/>
  <c r="S54" i="258"/>
  <c r="N66" i="841"/>
  <c r="Y66" i="845"/>
  <c r="T66" i="845"/>
  <c r="P66" i="845"/>
  <c r="N25" i="851"/>
  <c r="J34" i="851"/>
  <c r="Q36" i="258"/>
  <c r="Y66" i="832"/>
  <c r="P66" i="867"/>
  <c r="AA66" i="867"/>
  <c r="I24" i="880"/>
  <c r="G7" i="258"/>
  <c r="K24" i="836"/>
  <c r="I52" i="258"/>
  <c r="U66" i="836"/>
  <c r="N66" i="839"/>
  <c r="S66" i="862"/>
  <c r="Q25" i="885"/>
  <c r="S66" i="879"/>
  <c r="AC66" i="852"/>
  <c r="S66" i="852"/>
  <c r="N66" i="852"/>
  <c r="S66" i="847"/>
  <c r="Y66" i="847"/>
  <c r="J34" i="847"/>
  <c r="U40" i="257"/>
  <c r="J37" i="847"/>
  <c r="S40" i="258"/>
  <c r="AA66" i="847"/>
  <c r="Y66" i="858"/>
  <c r="F32" i="858"/>
  <c r="G29" i="257"/>
  <c r="T66" i="858"/>
  <c r="N66" i="858"/>
  <c r="J34" i="858"/>
  <c r="Q29" i="258"/>
  <c r="O25" i="860"/>
  <c r="J29" i="829"/>
  <c r="M59" i="258"/>
  <c r="K24" i="829"/>
  <c r="I59" i="258"/>
  <c r="AC66" i="831"/>
  <c r="Q22" i="831"/>
  <c r="N66" i="854"/>
  <c r="Y66" i="854"/>
  <c r="AA66" i="854"/>
  <c r="I34" i="833"/>
  <c r="P55" i="258"/>
  <c r="AA66" i="842"/>
  <c r="AC66" i="842"/>
  <c r="J37" i="842"/>
  <c r="S45" i="258"/>
  <c r="N22" i="842"/>
  <c r="P22" i="842"/>
  <c r="AA66" i="848"/>
  <c r="K24" i="848"/>
  <c r="I39" i="258"/>
  <c r="J37" i="848"/>
  <c r="S39" i="258"/>
  <c r="Y66" i="849"/>
  <c r="N66" i="849"/>
  <c r="N25" i="849"/>
  <c r="J24" i="876"/>
  <c r="K11" i="257"/>
  <c r="J29" i="834"/>
  <c r="M54" i="258"/>
  <c r="J29" i="844"/>
  <c r="M43" i="258"/>
  <c r="Q4" i="259"/>
  <c r="Q3" i="259"/>
  <c r="F26" i="862"/>
  <c r="F25" i="257"/>
  <c r="J34" i="862"/>
  <c r="U25" i="257"/>
  <c r="AF61" i="257"/>
  <c r="Z61" i="258"/>
  <c r="N61" i="257"/>
  <c r="K61" i="258"/>
  <c r="I61" i="257"/>
  <c r="F61" i="258"/>
  <c r="AD61" i="257"/>
  <c r="V61" i="258"/>
  <c r="AC61" i="257"/>
  <c r="U61" i="258"/>
  <c r="J61" i="257"/>
  <c r="G61" i="258"/>
  <c r="AG61" i="257"/>
  <c r="AC61" i="258"/>
  <c r="Q61" i="257"/>
  <c r="N61" i="258"/>
  <c r="P61" i="257"/>
  <c r="M61" i="258"/>
  <c r="T61" i="257"/>
  <c r="P61" i="258"/>
  <c r="L61" i="257"/>
  <c r="I61" i="258"/>
  <c r="U61" i="257"/>
  <c r="Q61" i="258"/>
  <c r="O61" i="257"/>
  <c r="L61" i="258"/>
  <c r="F32" i="855"/>
  <c r="G32" i="257"/>
  <c r="V66" i="872"/>
  <c r="AA66" i="840"/>
  <c r="I34" i="856"/>
  <c r="T31" i="257"/>
  <c r="T66" i="835"/>
  <c r="P66" i="835"/>
  <c r="O22" i="870"/>
  <c r="J34" i="880"/>
  <c r="Q7" i="258"/>
  <c r="P66" i="836"/>
  <c r="U66" i="838"/>
  <c r="O22" i="842"/>
  <c r="I21" i="848"/>
  <c r="O22" i="831"/>
  <c r="N25" i="882"/>
  <c r="P66" i="829"/>
  <c r="N66" i="829"/>
  <c r="J24" i="843"/>
  <c r="H44" i="258"/>
  <c r="J29" i="843"/>
  <c r="M44" i="258"/>
  <c r="I24" i="846"/>
  <c r="J41" i="257"/>
  <c r="T66" i="846"/>
  <c r="K37" i="877"/>
  <c r="AC66" i="850"/>
  <c r="I24" i="850"/>
  <c r="J37" i="257"/>
  <c r="J24" i="850"/>
  <c r="H37" i="258"/>
  <c r="S30" i="859"/>
  <c r="AB28" i="258"/>
  <c r="O22" i="871"/>
  <c r="AA66" i="858"/>
  <c r="O22" i="866"/>
  <c r="V66" i="866"/>
  <c r="K37" i="873"/>
  <c r="I34" i="875"/>
  <c r="P12" i="258"/>
  <c r="D29" i="845"/>
  <c r="D42" i="258"/>
  <c r="O22" i="878"/>
  <c r="Q25" i="842"/>
  <c r="AC66" i="857"/>
  <c r="I24" i="857"/>
  <c r="G30" i="258"/>
  <c r="K24" i="857"/>
  <c r="I30" i="258"/>
  <c r="U66" i="857"/>
  <c r="O22" i="865"/>
  <c r="U66" i="865"/>
  <c r="O22" i="884"/>
  <c r="Y66" i="829"/>
  <c r="D26" i="829"/>
  <c r="C59" i="257"/>
  <c r="Y66" i="836"/>
  <c r="T66" i="836"/>
  <c r="S66" i="836"/>
  <c r="AA66" i="856"/>
  <c r="N66" i="860"/>
  <c r="S30" i="874"/>
  <c r="AB13" i="258"/>
  <c r="S66" i="837"/>
  <c r="P66" i="851"/>
  <c r="Y66" i="859"/>
  <c r="N66" i="859"/>
  <c r="N25" i="855"/>
  <c r="J34" i="875"/>
  <c r="Q12" i="258"/>
  <c r="K34" i="875"/>
  <c r="V12" i="257"/>
  <c r="S66" i="875"/>
  <c r="AC66" i="880"/>
  <c r="J24" i="880"/>
  <c r="H7" i="258"/>
  <c r="T66" i="880"/>
  <c r="I24" i="839"/>
  <c r="G49" i="258"/>
  <c r="K24" i="839"/>
  <c r="I49" i="258"/>
  <c r="AC66" i="849"/>
  <c r="J24" i="849"/>
  <c r="H38" i="258"/>
  <c r="S66" i="867"/>
  <c r="AA66" i="869"/>
  <c r="T66" i="869"/>
  <c r="P66" i="834"/>
  <c r="J29" i="862"/>
  <c r="P25" i="257"/>
  <c r="J24" i="862"/>
  <c r="K25" i="257"/>
  <c r="N66" i="864"/>
  <c r="Y66" i="868"/>
  <c r="AA66" i="833"/>
  <c r="N25" i="879"/>
  <c r="T66" i="878"/>
  <c r="AC66" i="845"/>
  <c r="P66" i="863"/>
  <c r="J37" i="863"/>
  <c r="S24" i="258"/>
  <c r="N66" i="853"/>
  <c r="O66" i="850"/>
  <c r="AC66" i="833"/>
  <c r="J34" i="836"/>
  <c r="Q52" i="258"/>
  <c r="K37" i="872"/>
  <c r="K24" i="877"/>
  <c r="I10" i="258"/>
  <c r="K37" i="883"/>
  <c r="N25" i="884"/>
  <c r="T66" i="829"/>
  <c r="AC66" i="829"/>
  <c r="N66" i="834"/>
  <c r="Q22" i="847"/>
  <c r="P22" i="875"/>
  <c r="O22" i="876"/>
  <c r="O22" i="881"/>
  <c r="AA66" i="831"/>
  <c r="P66" i="831"/>
  <c r="S66" i="839"/>
  <c r="F22" i="839"/>
  <c r="Y66" i="875"/>
  <c r="M34" i="875"/>
  <c r="Z12" i="257"/>
  <c r="N66" i="875"/>
  <c r="O22" i="877"/>
  <c r="O66" i="878"/>
  <c r="O66" i="866"/>
  <c r="P66" i="868"/>
  <c r="AA66" i="872"/>
  <c r="T66" i="854"/>
  <c r="O66" i="854"/>
  <c r="AC66" i="876"/>
  <c r="N22" i="880"/>
  <c r="U66" i="880"/>
  <c r="O66" i="880"/>
  <c r="P66" i="880"/>
  <c r="AC66" i="843"/>
  <c r="P66" i="843"/>
  <c r="J37" i="839"/>
  <c r="S49" i="258"/>
  <c r="AA66" i="839"/>
  <c r="N66" i="873"/>
  <c r="J37" i="873"/>
  <c r="S14" i="258"/>
  <c r="AA66" i="873"/>
  <c r="T66" i="839"/>
  <c r="Y66" i="855"/>
  <c r="N66" i="879"/>
  <c r="I34" i="879"/>
  <c r="T8" i="257"/>
  <c r="Y66" i="879"/>
  <c r="I34" i="884"/>
  <c r="T3" i="257"/>
  <c r="J24" i="828"/>
  <c r="K60" i="257"/>
  <c r="P66" i="841"/>
  <c r="P66" i="844"/>
  <c r="I24" i="844"/>
  <c r="G43" i="258"/>
  <c r="AC66" i="844"/>
  <c r="K24" i="844"/>
  <c r="I43" i="258"/>
  <c r="S22" i="832"/>
  <c r="AF56" i="257"/>
  <c r="N22" i="832"/>
  <c r="S66" i="859"/>
  <c r="AA66" i="865"/>
  <c r="K24" i="870"/>
  <c r="L17" i="257"/>
  <c r="K24" i="878"/>
  <c r="L9" i="257"/>
  <c r="M34" i="883"/>
  <c r="Z4" i="257"/>
  <c r="J24" i="883"/>
  <c r="H4" i="258"/>
  <c r="P22" i="883"/>
  <c r="K24" i="883"/>
  <c r="I4" i="258"/>
  <c r="P66" i="846"/>
  <c r="S22" i="835"/>
  <c r="Z53" i="258"/>
  <c r="S30" i="860"/>
  <c r="AB27" i="258"/>
  <c r="K24" i="885"/>
  <c r="I2" i="258"/>
  <c r="K29" i="885"/>
  <c r="N2" i="258"/>
  <c r="O22" i="882"/>
  <c r="J24" i="855"/>
  <c r="H32" i="258"/>
  <c r="H8" i="259"/>
  <c r="S22" i="880"/>
  <c r="AF7" i="257"/>
  <c r="N25" i="880"/>
  <c r="Q66" i="880"/>
  <c r="I24" i="875"/>
  <c r="G12" i="258"/>
  <c r="K24" i="881"/>
  <c r="L6" i="257"/>
  <c r="N25" i="887"/>
  <c r="K80" i="887"/>
  <c r="I21" i="835"/>
  <c r="N25" i="852"/>
  <c r="J29" i="856"/>
  <c r="M31" i="258"/>
  <c r="AC66" i="866"/>
  <c r="Y66" i="848"/>
  <c r="U22" i="848"/>
  <c r="O66" i="870"/>
  <c r="I31" i="882"/>
  <c r="S5" i="257"/>
  <c r="I29" i="885"/>
  <c r="L2" i="258"/>
  <c r="S66" i="885"/>
  <c r="N66" i="885"/>
  <c r="J34" i="885"/>
  <c r="Q2" i="258"/>
  <c r="U66" i="834"/>
  <c r="AC66" i="841"/>
  <c r="U66" i="841"/>
  <c r="J37" i="867"/>
  <c r="S20" i="258"/>
  <c r="N25" i="867"/>
  <c r="Y66" i="867"/>
  <c r="I34" i="871"/>
  <c r="P16" i="258"/>
  <c r="T66" i="871"/>
  <c r="J37" i="871"/>
  <c r="S16" i="258"/>
  <c r="I29" i="863"/>
  <c r="L24" i="258"/>
  <c r="I21" i="875"/>
  <c r="U66" i="831"/>
  <c r="U66" i="887"/>
  <c r="V66" i="887"/>
  <c r="P66" i="887"/>
  <c r="Q66" i="887"/>
  <c r="D24" i="887"/>
  <c r="I24" i="887"/>
  <c r="G48" i="258"/>
  <c r="N22" i="887"/>
  <c r="AC66" i="887"/>
  <c r="O22" i="887"/>
  <c r="I29" i="887"/>
  <c r="L48" i="258"/>
  <c r="Q25" i="887"/>
  <c r="AE66" i="887"/>
  <c r="U66" i="845"/>
  <c r="U66" i="847"/>
  <c r="F24" i="847"/>
  <c r="P66" i="847"/>
  <c r="O22" i="847"/>
  <c r="AC66" i="847"/>
  <c r="U66" i="850"/>
  <c r="V66" i="874"/>
  <c r="N66" i="874"/>
  <c r="J34" i="874"/>
  <c r="Q13" i="258"/>
  <c r="Y66" i="874"/>
  <c r="J34" i="878"/>
  <c r="Q9" i="258"/>
  <c r="S66" i="878"/>
  <c r="N66" i="878"/>
  <c r="Q25" i="837"/>
  <c r="T66" i="853"/>
  <c r="Y66" i="860"/>
  <c r="AA66" i="860"/>
  <c r="J29" i="879"/>
  <c r="M8" i="258"/>
  <c r="J29" i="859"/>
  <c r="P28" i="257"/>
  <c r="AC66" i="859"/>
  <c r="J34" i="861"/>
  <c r="U26" i="257"/>
  <c r="K34" i="861"/>
  <c r="V26" i="257"/>
  <c r="N66" i="861"/>
  <c r="K34" i="883"/>
  <c r="V4" i="257"/>
  <c r="N25" i="844"/>
  <c r="S22" i="872"/>
  <c r="Z15" i="258"/>
  <c r="J37" i="872"/>
  <c r="S15" i="258"/>
  <c r="T66" i="872"/>
  <c r="O66" i="872"/>
  <c r="J29" i="876"/>
  <c r="P11" i="257"/>
  <c r="N25" i="876"/>
  <c r="S66" i="884"/>
  <c r="N66" i="884"/>
  <c r="K34" i="884"/>
  <c r="I34" i="832"/>
  <c r="T56" i="257"/>
  <c r="K24" i="873"/>
  <c r="L14" i="257"/>
  <c r="N28" i="873"/>
  <c r="U14" i="258"/>
  <c r="O66" i="873"/>
  <c r="N66" i="877"/>
  <c r="N25" i="877"/>
  <c r="J34" i="877"/>
  <c r="U10" i="257"/>
  <c r="Y66" i="877"/>
  <c r="D22" i="889"/>
  <c r="I21" i="843"/>
  <c r="F44" i="258"/>
  <c r="I34" i="846"/>
  <c r="T41" i="257"/>
  <c r="O66" i="846"/>
  <c r="N66" i="846"/>
  <c r="T66" i="850"/>
  <c r="K37" i="882"/>
  <c r="J34" i="882"/>
  <c r="U5" i="257"/>
  <c r="Q22" i="862"/>
  <c r="N25" i="869"/>
  <c r="Q66" i="875"/>
  <c r="F32" i="828"/>
  <c r="G60" i="257"/>
  <c r="K37" i="881"/>
  <c r="AE66" i="860"/>
  <c r="K37" i="860"/>
  <c r="L34" i="860"/>
  <c r="Y27" i="257"/>
  <c r="J29" i="864"/>
  <c r="P23" i="257"/>
  <c r="K24" i="864"/>
  <c r="L23" i="257"/>
  <c r="K37" i="864"/>
  <c r="I31" i="874"/>
  <c r="S13" i="257"/>
  <c r="J24" i="874"/>
  <c r="K13" i="257"/>
  <c r="O22" i="874"/>
  <c r="I21" i="878"/>
  <c r="K34" i="878"/>
  <c r="V9" i="257"/>
  <c r="V66" i="878"/>
  <c r="Q66" i="878"/>
  <c r="AC66" i="836"/>
  <c r="D29" i="873"/>
  <c r="D14" i="258"/>
  <c r="J24" i="873"/>
  <c r="K14" i="257"/>
  <c r="Q22" i="873"/>
  <c r="K37" i="884"/>
  <c r="P22" i="884"/>
  <c r="U66" i="829"/>
  <c r="O66" i="829"/>
  <c r="O22" i="885"/>
  <c r="J29" i="855"/>
  <c r="M32" i="258"/>
  <c r="H12" i="259"/>
  <c r="I31" i="865"/>
  <c r="S22" i="257"/>
  <c r="N30" i="871"/>
  <c r="V16" i="258"/>
  <c r="N25" i="871"/>
  <c r="N25" i="833"/>
  <c r="D29" i="887"/>
  <c r="D48" i="258"/>
  <c r="S66" i="887"/>
  <c r="N66" i="887"/>
  <c r="K37" i="887"/>
  <c r="S22" i="854"/>
  <c r="Z33" i="258"/>
  <c r="J29" i="854"/>
  <c r="M33" i="258"/>
  <c r="I34" i="854"/>
  <c r="T33" i="257"/>
  <c r="P22" i="877"/>
  <c r="S66" i="830"/>
  <c r="I21" i="850"/>
  <c r="I37" i="257"/>
  <c r="T66" i="863"/>
  <c r="U66" i="863"/>
  <c r="O66" i="863"/>
  <c r="I24" i="863"/>
  <c r="G24" i="258"/>
  <c r="AC66" i="863"/>
  <c r="S22" i="867"/>
  <c r="Z20" i="258"/>
  <c r="I34" i="867"/>
  <c r="T20" i="257"/>
  <c r="T66" i="867"/>
  <c r="O66" i="867"/>
  <c r="N66" i="867"/>
  <c r="T66" i="875"/>
  <c r="O66" i="875"/>
  <c r="AA66" i="875"/>
  <c r="Q22" i="848"/>
  <c r="T66" i="848"/>
  <c r="U66" i="848"/>
  <c r="O66" i="848"/>
  <c r="J37" i="851"/>
  <c r="S36" i="258"/>
  <c r="O66" i="851"/>
  <c r="T66" i="864"/>
  <c r="U66" i="864"/>
  <c r="O66" i="864"/>
  <c r="J37" i="864"/>
  <c r="S23" i="258"/>
  <c r="AA66" i="864"/>
  <c r="J24" i="864"/>
  <c r="O22" i="864"/>
  <c r="AC66" i="864"/>
  <c r="I31" i="873"/>
  <c r="S14" i="257"/>
  <c r="N25" i="873"/>
  <c r="T66" i="873"/>
  <c r="I31" i="879"/>
  <c r="S8" i="257"/>
  <c r="O22" i="879"/>
  <c r="U66" i="879"/>
  <c r="P66" i="879"/>
  <c r="T66" i="883"/>
  <c r="O66" i="883"/>
  <c r="J37" i="883"/>
  <c r="S4" i="258"/>
  <c r="D24" i="889"/>
  <c r="I21" i="860"/>
  <c r="S66" i="860"/>
  <c r="T66" i="860"/>
  <c r="O66" i="860"/>
  <c r="K24" i="861"/>
  <c r="L26" i="257"/>
  <c r="T66" i="861"/>
  <c r="F22" i="861"/>
  <c r="P66" i="861"/>
  <c r="O22" i="880"/>
  <c r="K80" i="880"/>
  <c r="I34" i="881"/>
  <c r="P6" i="258"/>
  <c r="K34" i="881"/>
  <c r="V6" i="257"/>
  <c r="Q25" i="881"/>
  <c r="S66" i="881"/>
  <c r="N66" i="881"/>
  <c r="Y66" i="884"/>
  <c r="N22" i="884"/>
  <c r="J24" i="884"/>
  <c r="H3" i="258"/>
  <c r="Q22" i="884"/>
  <c r="O66" i="838"/>
  <c r="J37" i="849"/>
  <c r="S38" i="258"/>
  <c r="O66" i="849"/>
  <c r="I24" i="858"/>
  <c r="G29" i="258"/>
  <c r="O66" i="858"/>
  <c r="D22" i="858"/>
  <c r="AC66" i="872"/>
  <c r="P66" i="872"/>
  <c r="AC66" i="878"/>
  <c r="P66" i="878"/>
  <c r="AA66" i="882"/>
  <c r="T66" i="882"/>
  <c r="O66" i="882"/>
  <c r="I34" i="882"/>
  <c r="T5" i="257"/>
  <c r="AC66" i="839"/>
  <c r="U66" i="839"/>
  <c r="O66" i="839"/>
  <c r="P66" i="839"/>
  <c r="I31" i="887"/>
  <c r="S48" i="257"/>
  <c r="N28" i="887"/>
  <c r="AC48" i="257"/>
  <c r="S30" i="887"/>
  <c r="AB48" i="258"/>
  <c r="O66" i="855"/>
  <c r="T66" i="862"/>
  <c r="N66" i="862"/>
  <c r="O66" i="862"/>
  <c r="Y66" i="862"/>
  <c r="AA66" i="862"/>
  <c r="S66" i="866"/>
  <c r="N66" i="866"/>
  <c r="O66" i="834"/>
  <c r="D22" i="834"/>
  <c r="I21" i="845"/>
  <c r="F42" i="258"/>
  <c r="O66" i="845"/>
  <c r="Q66" i="845"/>
  <c r="D24" i="845"/>
  <c r="S66" i="853"/>
  <c r="O66" i="853"/>
  <c r="I21" i="856"/>
  <c r="N22" i="856"/>
  <c r="S66" i="856"/>
  <c r="U66" i="856"/>
  <c r="P66" i="856"/>
  <c r="AA66" i="871"/>
  <c r="O66" i="871"/>
  <c r="AA66" i="876"/>
  <c r="I31" i="876"/>
  <c r="S11" i="257"/>
  <c r="T66" i="876"/>
  <c r="T66" i="832"/>
  <c r="S66" i="832"/>
  <c r="O66" i="832"/>
  <c r="J37" i="840"/>
  <c r="S47" i="258"/>
  <c r="O66" i="840"/>
  <c r="O66" i="843"/>
  <c r="N66" i="843"/>
  <c r="J37" i="865"/>
  <c r="S22" i="258"/>
  <c r="Y66" i="865"/>
  <c r="J34" i="865"/>
  <c r="U22" i="257"/>
  <c r="AC66" i="870"/>
  <c r="J24" i="870"/>
  <c r="H17" i="258"/>
  <c r="D29" i="870"/>
  <c r="D17" i="258"/>
  <c r="U66" i="870"/>
  <c r="P66" i="870"/>
  <c r="I24" i="870"/>
  <c r="G17" i="258"/>
  <c r="N22" i="870"/>
  <c r="T66" i="842"/>
  <c r="T66" i="844"/>
  <c r="S66" i="844"/>
  <c r="O66" i="844"/>
  <c r="K24" i="847"/>
  <c r="I40" i="258"/>
  <c r="J24" i="847"/>
  <c r="H40" i="258"/>
  <c r="O66" i="847"/>
  <c r="J24" i="868"/>
  <c r="K19" i="257"/>
  <c r="N22" i="868"/>
  <c r="T66" i="868"/>
  <c r="N66" i="868"/>
  <c r="AC66" i="877"/>
  <c r="M34" i="877"/>
  <c r="Z10" i="257"/>
  <c r="J37" i="877"/>
  <c r="S10" i="258"/>
  <c r="AE66" i="828"/>
  <c r="L34" i="828"/>
  <c r="Y60" i="257"/>
  <c r="O66" i="828"/>
  <c r="I24" i="828"/>
  <c r="J60" i="257"/>
  <c r="N28" i="831"/>
  <c r="U57" i="258"/>
  <c r="S66" i="831"/>
  <c r="F22" i="831"/>
  <c r="O66" i="831"/>
  <c r="Y66" i="833"/>
  <c r="O66" i="833"/>
  <c r="O66" i="837"/>
  <c r="O66" i="859"/>
  <c r="J34" i="869"/>
  <c r="U18" i="257"/>
  <c r="Q25" i="869"/>
  <c r="I34" i="869"/>
  <c r="P18" i="258"/>
  <c r="O66" i="835"/>
  <c r="J37" i="835"/>
  <c r="S53" i="258"/>
  <c r="O66" i="836"/>
  <c r="O66" i="841"/>
  <c r="J29" i="846"/>
  <c r="M41" i="258"/>
  <c r="O66" i="852"/>
  <c r="O66" i="857"/>
  <c r="P66" i="857"/>
  <c r="I21" i="887"/>
  <c r="F48" i="258"/>
  <c r="J24" i="887"/>
  <c r="H48" i="258"/>
  <c r="K29" i="887"/>
  <c r="Q48" i="257"/>
  <c r="P25" i="887"/>
  <c r="I31" i="851"/>
  <c r="S36" i="257"/>
  <c r="F32" i="851"/>
  <c r="G36" i="257"/>
  <c r="N28" i="853"/>
  <c r="AC34" i="257"/>
  <c r="M34" i="861"/>
  <c r="Z26" i="257"/>
  <c r="I31" i="861"/>
  <c r="S26" i="257"/>
  <c r="N28" i="861"/>
  <c r="U26" i="258"/>
  <c r="P22" i="861"/>
  <c r="J29" i="861"/>
  <c r="P26" i="257"/>
  <c r="S22" i="866"/>
  <c r="AF21" i="257"/>
  <c r="K24" i="866"/>
  <c r="I21" i="258"/>
  <c r="G68" i="866"/>
  <c r="AK21" i="257"/>
  <c r="I21" i="881"/>
  <c r="J29" i="881"/>
  <c r="P6" i="257"/>
  <c r="I31" i="832"/>
  <c r="S56" i="257"/>
  <c r="S66" i="843"/>
  <c r="I26" i="867"/>
  <c r="K20" i="258"/>
  <c r="J24" i="867"/>
  <c r="H20" i="258"/>
  <c r="J29" i="867"/>
  <c r="M20" i="258"/>
  <c r="K24" i="875"/>
  <c r="L12" i="257"/>
  <c r="I21" i="882"/>
  <c r="F5" i="258"/>
  <c r="I80" i="882"/>
  <c r="N30" i="882"/>
  <c r="AD5" i="257"/>
  <c r="N66" i="882"/>
  <c r="D26" i="884"/>
  <c r="C3" i="257"/>
  <c r="S22" i="839"/>
  <c r="Z49" i="258"/>
  <c r="I31" i="839"/>
  <c r="S49" i="257"/>
  <c r="J34" i="872"/>
  <c r="Q15" i="258"/>
  <c r="Q66" i="883"/>
  <c r="I29" i="883"/>
  <c r="L4" i="258"/>
  <c r="I21" i="885"/>
  <c r="I2" i="257"/>
  <c r="K37" i="885"/>
  <c r="M34" i="885"/>
  <c r="Z2" i="257"/>
  <c r="U24" i="889"/>
  <c r="K24" i="837"/>
  <c r="I51" i="258"/>
  <c r="K37" i="837"/>
  <c r="K80" i="856"/>
  <c r="J29" i="873"/>
  <c r="P14" i="257"/>
  <c r="AA66" i="828"/>
  <c r="T66" i="828"/>
  <c r="S66" i="828"/>
  <c r="Y66" i="830"/>
  <c r="J29" i="830"/>
  <c r="M58" i="258"/>
  <c r="K24" i="830"/>
  <c r="I58" i="258"/>
  <c r="N25" i="830"/>
  <c r="I21" i="834"/>
  <c r="AC66" i="854"/>
  <c r="J24" i="854"/>
  <c r="H33" i="258"/>
  <c r="N25" i="854"/>
  <c r="J34" i="864"/>
  <c r="Q23" i="258"/>
  <c r="S22" i="831"/>
  <c r="Z57" i="258"/>
  <c r="J24" i="831"/>
  <c r="H57" i="258"/>
  <c r="N30" i="831"/>
  <c r="AD57" i="257"/>
  <c r="J29" i="836"/>
  <c r="M52" i="258"/>
  <c r="Q25" i="859"/>
  <c r="AC66" i="868"/>
  <c r="AA66" i="868"/>
  <c r="M34" i="868"/>
  <c r="Z19" i="257"/>
  <c r="I31" i="868"/>
  <c r="S19" i="257"/>
  <c r="O66" i="868"/>
  <c r="D22" i="868"/>
  <c r="K80" i="868"/>
  <c r="J29" i="870"/>
  <c r="M17" i="258"/>
  <c r="I80" i="870"/>
  <c r="S30" i="879"/>
  <c r="AB8" i="258"/>
  <c r="K24" i="879"/>
  <c r="I8" i="258"/>
  <c r="K37" i="879"/>
  <c r="K37" i="852"/>
  <c r="K24" i="855"/>
  <c r="I32" i="258"/>
  <c r="H9" i="259"/>
  <c r="J34" i="855"/>
  <c r="Q32" i="258"/>
  <c r="H15" i="259"/>
  <c r="M34" i="863"/>
  <c r="Z24" i="257"/>
  <c r="J29" i="869"/>
  <c r="P18" i="257"/>
  <c r="I21" i="869"/>
  <c r="F18" i="258"/>
  <c r="I31" i="869"/>
  <c r="S18" i="257"/>
  <c r="P22" i="869"/>
  <c r="Q66" i="876"/>
  <c r="M34" i="876"/>
  <c r="Z11" i="257"/>
  <c r="J29" i="833"/>
  <c r="P55" i="257"/>
  <c r="J29" i="835"/>
  <c r="M53" i="258"/>
  <c r="K80" i="835"/>
  <c r="O22" i="835"/>
  <c r="I31" i="862"/>
  <c r="S25" i="257"/>
  <c r="I21" i="874"/>
  <c r="L34" i="874"/>
  <c r="Y13" i="257"/>
  <c r="D29" i="874"/>
  <c r="D13" i="258"/>
  <c r="S66" i="874"/>
  <c r="J29" i="874"/>
  <c r="P13" i="257"/>
  <c r="AA66" i="844"/>
  <c r="U22" i="844"/>
  <c r="AC43" i="258"/>
  <c r="AA66" i="857"/>
  <c r="P22" i="857"/>
  <c r="T66" i="857"/>
  <c r="I21" i="858"/>
  <c r="F29" i="258"/>
  <c r="K37" i="880"/>
  <c r="AA66" i="841"/>
  <c r="M34" i="841"/>
  <c r="Z46" i="257"/>
  <c r="J29" i="848"/>
  <c r="M39" i="258"/>
  <c r="I24" i="848"/>
  <c r="J39" i="257"/>
  <c r="P66" i="850"/>
  <c r="AC66" i="865"/>
  <c r="S22" i="865"/>
  <c r="AF22" i="257"/>
  <c r="I21" i="865"/>
  <c r="I31" i="877"/>
  <c r="S10" i="257"/>
  <c r="N30" i="877"/>
  <c r="V10" i="258"/>
  <c r="J29" i="877"/>
  <c r="M10" i="258"/>
  <c r="I31" i="878"/>
  <c r="S9" i="257"/>
  <c r="N28" i="878"/>
  <c r="U9" i="258"/>
  <c r="P22" i="878"/>
  <c r="I29" i="831"/>
  <c r="O57" i="257"/>
  <c r="I24" i="831"/>
  <c r="J57" i="257"/>
  <c r="J37" i="831"/>
  <c r="S57" i="258"/>
  <c r="K80" i="831"/>
  <c r="I34" i="831"/>
  <c r="P57" i="258"/>
  <c r="I31" i="831"/>
  <c r="S57" i="257"/>
  <c r="N22" i="831"/>
  <c r="G68" i="831"/>
  <c r="AK57" i="257"/>
  <c r="N66" i="831"/>
  <c r="I80" i="831"/>
  <c r="N22" i="837"/>
  <c r="N66" i="837"/>
  <c r="J24" i="866"/>
  <c r="K21" i="257"/>
  <c r="I24" i="866"/>
  <c r="J21" i="257"/>
  <c r="I21" i="866"/>
  <c r="I21" i="257"/>
  <c r="J37" i="866"/>
  <c r="S21" i="258"/>
  <c r="K80" i="866"/>
  <c r="N25" i="866"/>
  <c r="N30" i="866"/>
  <c r="V21" i="258"/>
  <c r="N22" i="866"/>
  <c r="U66" i="866"/>
  <c r="F24" i="866"/>
  <c r="P66" i="866"/>
  <c r="I80" i="866"/>
  <c r="AC66" i="867"/>
  <c r="I24" i="867"/>
  <c r="G20" i="258"/>
  <c r="K80" i="867"/>
  <c r="I31" i="867"/>
  <c r="S20" i="257"/>
  <c r="N22" i="867"/>
  <c r="G68" i="867"/>
  <c r="AK20" i="257"/>
  <c r="U66" i="867"/>
  <c r="I80" i="867"/>
  <c r="AA66" i="883"/>
  <c r="I21" i="883"/>
  <c r="F4" i="258"/>
  <c r="K80" i="883"/>
  <c r="I80" i="883"/>
  <c r="I31" i="883"/>
  <c r="S4" i="257"/>
  <c r="D29" i="883"/>
  <c r="D4" i="258"/>
  <c r="U66" i="883"/>
  <c r="G68" i="883"/>
  <c r="AK4" i="257"/>
  <c r="P66" i="883"/>
  <c r="I24" i="883"/>
  <c r="G4" i="258"/>
  <c r="N22" i="883"/>
  <c r="AC66" i="883"/>
  <c r="AA66" i="884"/>
  <c r="AC66" i="884"/>
  <c r="I26" i="884"/>
  <c r="N3" i="257"/>
  <c r="K24" i="884"/>
  <c r="I3" i="258"/>
  <c r="J37" i="884"/>
  <c r="S3" i="258"/>
  <c r="I31" i="884"/>
  <c r="S3" i="257"/>
  <c r="D29" i="884"/>
  <c r="D3" i="258"/>
  <c r="T66" i="884"/>
  <c r="U66" i="884"/>
  <c r="G68" i="884"/>
  <c r="AK3" i="257"/>
  <c r="O66" i="884"/>
  <c r="P66" i="884"/>
  <c r="I80" i="884"/>
  <c r="K80" i="884"/>
  <c r="L31" i="889"/>
  <c r="X61" i="257"/>
  <c r="I29" i="829"/>
  <c r="O59" i="257"/>
  <c r="I21" i="829"/>
  <c r="I24" i="829"/>
  <c r="J59" i="257"/>
  <c r="Q25" i="829"/>
  <c r="N22" i="829"/>
  <c r="G68" i="829"/>
  <c r="AK59" i="257"/>
  <c r="I80" i="829"/>
  <c r="J37" i="829"/>
  <c r="S59" i="258"/>
  <c r="AA66" i="829"/>
  <c r="K80" i="829"/>
  <c r="S22" i="840"/>
  <c r="Z47" i="258"/>
  <c r="Y66" i="840"/>
  <c r="I29" i="840"/>
  <c r="O47" i="257"/>
  <c r="K80" i="840"/>
  <c r="I34" i="840"/>
  <c r="P47" i="258"/>
  <c r="N22" i="840"/>
  <c r="N30" i="840"/>
  <c r="V47" i="258"/>
  <c r="G68" i="840"/>
  <c r="AK47" i="257"/>
  <c r="I80" i="840"/>
  <c r="I29" i="845"/>
  <c r="L42" i="258"/>
  <c r="J37" i="845"/>
  <c r="S42" i="258"/>
  <c r="I31" i="845"/>
  <c r="S42" i="257"/>
  <c r="I80" i="845"/>
  <c r="Q25" i="845"/>
  <c r="N30" i="845"/>
  <c r="V42" i="258"/>
  <c r="V66" i="845"/>
  <c r="F24" i="845"/>
  <c r="G68" i="845"/>
  <c r="AK42" i="257"/>
  <c r="N66" i="845"/>
  <c r="K80" i="845"/>
  <c r="I29" i="853"/>
  <c r="O34" i="257"/>
  <c r="I34" i="853"/>
  <c r="K80" i="853"/>
  <c r="I31" i="853"/>
  <c r="S34" i="257"/>
  <c r="N22" i="853"/>
  <c r="U66" i="853"/>
  <c r="G68" i="853"/>
  <c r="AK34" i="257"/>
  <c r="P66" i="853"/>
  <c r="I80" i="853"/>
  <c r="D26" i="853"/>
  <c r="C34" i="257"/>
  <c r="I24" i="854"/>
  <c r="J33" i="257"/>
  <c r="N22" i="854"/>
  <c r="S66" i="854"/>
  <c r="P66" i="854"/>
  <c r="J37" i="833"/>
  <c r="S55" i="258"/>
  <c r="I31" i="833"/>
  <c r="S55" i="257"/>
  <c r="K80" i="833"/>
  <c r="J34" i="833"/>
  <c r="Q55" i="258"/>
  <c r="N30" i="833"/>
  <c r="V55" i="258"/>
  <c r="N22" i="833"/>
  <c r="U66" i="833"/>
  <c r="G68" i="833"/>
  <c r="AK55" i="257"/>
  <c r="I80" i="833"/>
  <c r="S22" i="836"/>
  <c r="Z52" i="258"/>
  <c r="J37" i="836"/>
  <c r="S52" i="258"/>
  <c r="I31" i="836"/>
  <c r="S52" i="257"/>
  <c r="K80" i="836"/>
  <c r="I34" i="836"/>
  <c r="T52" i="257"/>
  <c r="N25" i="836"/>
  <c r="N22" i="836"/>
  <c r="N30" i="836"/>
  <c r="AD52" i="257"/>
  <c r="G68" i="836"/>
  <c r="AK52" i="257"/>
  <c r="I80" i="836"/>
  <c r="K80" i="864"/>
  <c r="I31" i="864"/>
  <c r="S23" i="257"/>
  <c r="I80" i="864"/>
  <c r="S66" i="864"/>
  <c r="P66" i="864"/>
  <c r="N25" i="864"/>
  <c r="K34" i="864"/>
  <c r="Y66" i="864"/>
  <c r="G68" i="864"/>
  <c r="AK23" i="257"/>
  <c r="AC66" i="875"/>
  <c r="J29" i="875"/>
  <c r="P12" i="257"/>
  <c r="J24" i="875"/>
  <c r="K12" i="257"/>
  <c r="J37" i="875"/>
  <c r="S12" i="258"/>
  <c r="K80" i="875"/>
  <c r="I31" i="875"/>
  <c r="S12" i="257"/>
  <c r="N28" i="875"/>
  <c r="AC12" i="257"/>
  <c r="N25" i="875"/>
  <c r="O22" i="875"/>
  <c r="U66" i="875"/>
  <c r="G68" i="875"/>
  <c r="AK12" i="257"/>
  <c r="P66" i="875"/>
  <c r="I80" i="875"/>
  <c r="S22" i="881"/>
  <c r="Z6" i="258"/>
  <c r="AC66" i="882"/>
  <c r="S22" i="882"/>
  <c r="Z5" i="258"/>
  <c r="J29" i="882"/>
  <c r="M5" i="258"/>
  <c r="I24" i="882"/>
  <c r="G5" i="258"/>
  <c r="J37" i="882"/>
  <c r="S5" i="258"/>
  <c r="G68" i="882"/>
  <c r="AK5" i="257"/>
  <c r="K80" i="882"/>
  <c r="N28" i="882"/>
  <c r="AC5" i="257"/>
  <c r="N22" i="882"/>
  <c r="U66" i="882"/>
  <c r="P66" i="882"/>
  <c r="J29" i="832"/>
  <c r="M56" i="258"/>
  <c r="I21" i="832"/>
  <c r="J37" i="832"/>
  <c r="S56" i="258"/>
  <c r="K80" i="832"/>
  <c r="K34" i="832"/>
  <c r="R56" i="258"/>
  <c r="I80" i="832"/>
  <c r="N25" i="832"/>
  <c r="N30" i="832"/>
  <c r="V56" i="258"/>
  <c r="G68" i="832"/>
  <c r="AK56" i="257"/>
  <c r="J37" i="838"/>
  <c r="S50" i="258"/>
  <c r="I31" i="838"/>
  <c r="S50" i="257"/>
  <c r="K80" i="838"/>
  <c r="I34" i="838"/>
  <c r="P50" i="258"/>
  <c r="P66" i="838"/>
  <c r="I80" i="838"/>
  <c r="I29" i="838"/>
  <c r="L50" i="258"/>
  <c r="Q25" i="838"/>
  <c r="G68" i="838"/>
  <c r="AK50" i="257"/>
  <c r="T66" i="887"/>
  <c r="G68" i="887"/>
  <c r="AK48" i="257"/>
  <c r="O66" i="887"/>
  <c r="D22" i="887"/>
  <c r="J34" i="887"/>
  <c r="J37" i="887"/>
  <c r="S48" i="258"/>
  <c r="AA66" i="887"/>
  <c r="I80" i="887"/>
  <c r="AC66" i="871"/>
  <c r="I29" i="871"/>
  <c r="L16" i="258"/>
  <c r="I24" i="871"/>
  <c r="G16" i="258"/>
  <c r="K80" i="871"/>
  <c r="I80" i="871"/>
  <c r="Q25" i="871"/>
  <c r="N22" i="871"/>
  <c r="U66" i="871"/>
  <c r="G68" i="871"/>
  <c r="AK16" i="257"/>
  <c r="P66" i="871"/>
  <c r="N30" i="879"/>
  <c r="V8" i="258"/>
  <c r="G68" i="879"/>
  <c r="AK8" i="257"/>
  <c r="T66" i="879"/>
  <c r="F22" i="879"/>
  <c r="O66" i="879"/>
  <c r="I80" i="879"/>
  <c r="J24" i="879"/>
  <c r="H8" i="258"/>
  <c r="J37" i="879"/>
  <c r="S8" i="258"/>
  <c r="AA66" i="879"/>
  <c r="U22" i="879"/>
  <c r="I24" i="879"/>
  <c r="G8" i="258"/>
  <c r="N22" i="879"/>
  <c r="AC66" i="879"/>
  <c r="K80" i="879"/>
  <c r="Y66" i="885"/>
  <c r="S22" i="885"/>
  <c r="AF2" i="257"/>
  <c r="I80" i="885"/>
  <c r="N30" i="885"/>
  <c r="V2" i="258"/>
  <c r="G68" i="885"/>
  <c r="AK2" i="257"/>
  <c r="T66" i="885"/>
  <c r="U66" i="885"/>
  <c r="O66" i="885"/>
  <c r="P66" i="885"/>
  <c r="D24" i="885"/>
  <c r="J37" i="885"/>
  <c r="S2" i="258"/>
  <c r="AA66" i="885"/>
  <c r="I24" i="885"/>
  <c r="G2" i="258"/>
  <c r="N22" i="885"/>
  <c r="AC66" i="885"/>
  <c r="K80" i="885"/>
  <c r="L31" i="885"/>
  <c r="X2" i="257"/>
  <c r="AA66" i="835"/>
  <c r="I29" i="835"/>
  <c r="O53" i="257"/>
  <c r="I24" i="835"/>
  <c r="J53" i="257"/>
  <c r="I31" i="835"/>
  <c r="S53" i="257"/>
  <c r="Q25" i="835"/>
  <c r="N30" i="835"/>
  <c r="V53" i="258"/>
  <c r="U66" i="835"/>
  <c r="G68" i="835"/>
  <c r="AK53" i="257"/>
  <c r="Q22" i="835"/>
  <c r="J34" i="835"/>
  <c r="Q53" i="258"/>
  <c r="Y66" i="835"/>
  <c r="I80" i="835"/>
  <c r="I29" i="847"/>
  <c r="L40" i="258"/>
  <c r="I34" i="847"/>
  <c r="T40" i="257"/>
  <c r="K80" i="847"/>
  <c r="G68" i="847"/>
  <c r="AK40" i="257"/>
  <c r="N66" i="847"/>
  <c r="I80" i="847"/>
  <c r="S22" i="861"/>
  <c r="Z26" i="258"/>
  <c r="I29" i="861"/>
  <c r="O26" i="257"/>
  <c r="I24" i="861"/>
  <c r="J26" i="257"/>
  <c r="J37" i="861"/>
  <c r="S26" i="258"/>
  <c r="N25" i="861"/>
  <c r="N30" i="861"/>
  <c r="V26" i="258"/>
  <c r="N22" i="861"/>
  <c r="G68" i="861"/>
  <c r="AK26" i="257"/>
  <c r="U66" i="861"/>
  <c r="O66" i="861"/>
  <c r="I80" i="861"/>
  <c r="K80" i="861"/>
  <c r="AC66" i="869"/>
  <c r="I29" i="869"/>
  <c r="O18" i="257"/>
  <c r="I24" i="869"/>
  <c r="J18" i="257"/>
  <c r="J37" i="869"/>
  <c r="S18" i="258"/>
  <c r="I80" i="869"/>
  <c r="N30" i="869"/>
  <c r="AD18" i="257"/>
  <c r="G68" i="869"/>
  <c r="AK18" i="257"/>
  <c r="D29" i="869"/>
  <c r="D18" i="258"/>
  <c r="O66" i="869"/>
  <c r="P66" i="869"/>
  <c r="K80" i="869"/>
  <c r="D26" i="869"/>
  <c r="C18" i="257"/>
  <c r="I29" i="872"/>
  <c r="L15" i="258"/>
  <c r="I24" i="872"/>
  <c r="G15" i="258"/>
  <c r="N7" i="259"/>
  <c r="I34" i="872"/>
  <c r="P15" i="258"/>
  <c r="N14" i="259"/>
  <c r="I31" i="872"/>
  <c r="S15" i="257"/>
  <c r="K80" i="872"/>
  <c r="N28" i="872"/>
  <c r="AC15" i="257"/>
  <c r="N22" i="872"/>
  <c r="D29" i="872"/>
  <c r="D15" i="258"/>
  <c r="U66" i="872"/>
  <c r="F24" i="872"/>
  <c r="G68" i="872"/>
  <c r="AK15" i="257"/>
  <c r="I80" i="872"/>
  <c r="S24" i="872"/>
  <c r="AI15" i="257"/>
  <c r="S22" i="876"/>
  <c r="Z11" i="258"/>
  <c r="I34" i="876"/>
  <c r="P11" i="258"/>
  <c r="N28" i="876"/>
  <c r="AC11" i="257"/>
  <c r="N22" i="876"/>
  <c r="N30" i="876"/>
  <c r="V11" i="258"/>
  <c r="G68" i="876"/>
  <c r="AK11" i="257"/>
  <c r="O66" i="876"/>
  <c r="P66" i="876"/>
  <c r="I80" i="876"/>
  <c r="K80" i="876"/>
  <c r="I29" i="876"/>
  <c r="L11" i="258"/>
  <c r="J29" i="849"/>
  <c r="M38" i="258"/>
  <c r="K80" i="849"/>
  <c r="T66" i="849"/>
  <c r="S66" i="849"/>
  <c r="G68" i="849"/>
  <c r="AK38" i="257"/>
  <c r="I80" i="849"/>
  <c r="L31" i="849"/>
  <c r="X38" i="257"/>
  <c r="Y66" i="856"/>
  <c r="J37" i="856"/>
  <c r="S31" i="258"/>
  <c r="J34" i="856"/>
  <c r="Q31" i="258"/>
  <c r="T66" i="856"/>
  <c r="G68" i="856"/>
  <c r="AK31" i="257"/>
  <c r="O66" i="856"/>
  <c r="N66" i="856"/>
  <c r="I80" i="856"/>
  <c r="I29" i="865"/>
  <c r="L22" i="258"/>
  <c r="I34" i="865"/>
  <c r="T22" i="257"/>
  <c r="Q25" i="865"/>
  <c r="N28" i="865"/>
  <c r="AC22" i="257"/>
  <c r="N30" i="865"/>
  <c r="V22" i="258"/>
  <c r="N22" i="865"/>
  <c r="T66" i="865"/>
  <c r="S66" i="865"/>
  <c r="G68" i="865"/>
  <c r="AK22" i="257"/>
  <c r="O66" i="865"/>
  <c r="P66" i="865"/>
  <c r="I80" i="865"/>
  <c r="K80" i="865"/>
  <c r="AC66" i="873"/>
  <c r="I29" i="873"/>
  <c r="L14" i="258"/>
  <c r="I24" i="873"/>
  <c r="G14" i="258"/>
  <c r="I21" i="873"/>
  <c r="I14" i="257"/>
  <c r="G68" i="873"/>
  <c r="AK14" i="257"/>
  <c r="K80" i="873"/>
  <c r="P22" i="873"/>
  <c r="U66" i="873"/>
  <c r="P66" i="873"/>
  <c r="I80" i="873"/>
  <c r="AA66" i="877"/>
  <c r="S22" i="877"/>
  <c r="AF10" i="257"/>
  <c r="I21" i="877"/>
  <c r="I10" i="257"/>
  <c r="I24" i="877"/>
  <c r="G10" i="258"/>
  <c r="N22" i="877"/>
  <c r="T66" i="877"/>
  <c r="U66" i="877"/>
  <c r="G68" i="877"/>
  <c r="AK10" i="257"/>
  <c r="P66" i="877"/>
  <c r="O66" i="877"/>
  <c r="I80" i="877"/>
  <c r="K80" i="877"/>
  <c r="N28" i="880"/>
  <c r="AC7" i="257"/>
  <c r="N30" i="880"/>
  <c r="AD7" i="257"/>
  <c r="S66" i="880"/>
  <c r="G68" i="880"/>
  <c r="AK7" i="257"/>
  <c r="N66" i="880"/>
  <c r="D22" i="880"/>
  <c r="K34" i="880"/>
  <c r="R7" i="258"/>
  <c r="Y66" i="880"/>
  <c r="J37" i="880"/>
  <c r="S7" i="258"/>
  <c r="AA66" i="880"/>
  <c r="I80" i="880"/>
  <c r="I29" i="841"/>
  <c r="L46" i="258"/>
  <c r="I24" i="841"/>
  <c r="G46" i="258"/>
  <c r="J37" i="841"/>
  <c r="S46" i="258"/>
  <c r="K80" i="841"/>
  <c r="J34" i="841"/>
  <c r="Q46" i="258"/>
  <c r="N22" i="841"/>
  <c r="G68" i="841"/>
  <c r="AK46" i="257"/>
  <c r="I80" i="841"/>
  <c r="L31" i="841"/>
  <c r="X46" i="257"/>
  <c r="S22" i="850"/>
  <c r="Z37" i="258"/>
  <c r="I29" i="850"/>
  <c r="O37" i="257"/>
  <c r="J37" i="850"/>
  <c r="S37" i="258"/>
  <c r="J34" i="850"/>
  <c r="Q37" i="258"/>
  <c r="K80" i="850"/>
  <c r="Q25" i="850"/>
  <c r="N22" i="850"/>
  <c r="G68" i="850"/>
  <c r="AK37" i="257"/>
  <c r="N66" i="850"/>
  <c r="I80" i="850"/>
  <c r="I29" i="858"/>
  <c r="L29" i="258"/>
  <c r="J37" i="858"/>
  <c r="S29" i="258"/>
  <c r="I34" i="858"/>
  <c r="P29" i="258"/>
  <c r="I31" i="858"/>
  <c r="S29" i="257"/>
  <c r="K80" i="858"/>
  <c r="N28" i="858"/>
  <c r="AC29" i="257"/>
  <c r="N30" i="858"/>
  <c r="V29" i="258"/>
  <c r="S66" i="858"/>
  <c r="F22" i="858"/>
  <c r="G68" i="858"/>
  <c r="AK29" i="257"/>
  <c r="I80" i="858"/>
  <c r="AC66" i="862"/>
  <c r="I24" i="862"/>
  <c r="J25" i="257"/>
  <c r="J37" i="862"/>
  <c r="S25" i="258"/>
  <c r="K34" i="862"/>
  <c r="R25" i="258"/>
  <c r="G68" i="862"/>
  <c r="AK25" i="257"/>
  <c r="K80" i="862"/>
  <c r="N25" i="862"/>
  <c r="P22" i="862"/>
  <c r="D29" i="862"/>
  <c r="D25" i="258"/>
  <c r="U66" i="862"/>
  <c r="P66" i="862"/>
  <c r="I80" i="862"/>
  <c r="AA66" i="863"/>
  <c r="I21" i="863"/>
  <c r="F24" i="258"/>
  <c r="I34" i="863"/>
  <c r="P24" i="258"/>
  <c r="K80" i="863"/>
  <c r="I31" i="863"/>
  <c r="S24" i="257"/>
  <c r="N22" i="863"/>
  <c r="D29" i="863"/>
  <c r="D24" i="258"/>
  <c r="G68" i="863"/>
  <c r="AK24" i="257"/>
  <c r="I80" i="863"/>
  <c r="I21" i="870"/>
  <c r="I17" i="257"/>
  <c r="I31" i="870"/>
  <c r="S17" i="257"/>
  <c r="K80" i="870"/>
  <c r="N30" i="870"/>
  <c r="V17" i="258"/>
  <c r="T66" i="870"/>
  <c r="S66" i="870"/>
  <c r="N66" i="870"/>
  <c r="D22" i="870"/>
  <c r="N25" i="870"/>
  <c r="J34" i="870"/>
  <c r="Y66" i="870"/>
  <c r="G68" i="870"/>
  <c r="AK17" i="257"/>
  <c r="S22" i="834"/>
  <c r="Z54" i="258"/>
  <c r="Y66" i="834"/>
  <c r="U22" i="834"/>
  <c r="AG54" i="257"/>
  <c r="I31" i="834"/>
  <c r="S54" i="257"/>
  <c r="N30" i="834"/>
  <c r="V54" i="258"/>
  <c r="S66" i="834"/>
  <c r="F22" i="834"/>
  <c r="I80" i="834"/>
  <c r="I24" i="834"/>
  <c r="J54" i="257"/>
  <c r="N22" i="834"/>
  <c r="AC66" i="834"/>
  <c r="K80" i="834"/>
  <c r="L31" i="834"/>
  <c r="X54" i="257"/>
  <c r="I29" i="834"/>
  <c r="O54" i="257"/>
  <c r="Q25" i="834"/>
  <c r="G68" i="834"/>
  <c r="AK54" i="257"/>
  <c r="Y66" i="843"/>
  <c r="U22" i="843"/>
  <c r="I29" i="843"/>
  <c r="L44" i="258"/>
  <c r="I24" i="843"/>
  <c r="G44" i="258"/>
  <c r="I34" i="843"/>
  <c r="P44" i="258"/>
  <c r="I31" i="843"/>
  <c r="S44" i="257"/>
  <c r="N25" i="843"/>
  <c r="N30" i="843"/>
  <c r="V44" i="258"/>
  <c r="N22" i="843"/>
  <c r="U66" i="843"/>
  <c r="G68" i="843"/>
  <c r="AK44" i="257"/>
  <c r="I80" i="843"/>
  <c r="K80" i="843"/>
  <c r="J24" i="848"/>
  <c r="H39" i="258"/>
  <c r="I39" i="257"/>
  <c r="J34" i="848"/>
  <c r="Q39" i="258"/>
  <c r="K80" i="848"/>
  <c r="I31" i="848"/>
  <c r="S39" i="257"/>
  <c r="N25" i="848"/>
  <c r="N30" i="848"/>
  <c r="AD39" i="257"/>
  <c r="S66" i="848"/>
  <c r="G68" i="848"/>
  <c r="AK39" i="257"/>
  <c r="P66" i="848"/>
  <c r="I80" i="848"/>
  <c r="AC66" i="855"/>
  <c r="I24" i="855"/>
  <c r="G32" i="258"/>
  <c r="H7" i="259"/>
  <c r="I31" i="855"/>
  <c r="S32" i="257"/>
  <c r="K80" i="855"/>
  <c r="I34" i="855"/>
  <c r="T32" i="257"/>
  <c r="N30" i="855"/>
  <c r="V32" i="258"/>
  <c r="H19" i="259"/>
  <c r="N22" i="855"/>
  <c r="S66" i="855"/>
  <c r="G68" i="855"/>
  <c r="AK32" i="257"/>
  <c r="N66" i="855"/>
  <c r="I80" i="855"/>
  <c r="Q22" i="859"/>
  <c r="I26" i="874"/>
  <c r="K13" i="258"/>
  <c r="N30" i="874"/>
  <c r="V13" i="258"/>
  <c r="T66" i="874"/>
  <c r="U66" i="874"/>
  <c r="Q66" i="874"/>
  <c r="G68" i="874"/>
  <c r="AK13" i="257"/>
  <c r="O66" i="874"/>
  <c r="P66" i="874"/>
  <c r="I80" i="874"/>
  <c r="J37" i="874"/>
  <c r="S13" i="258"/>
  <c r="K17" i="259"/>
  <c r="AA66" i="874"/>
  <c r="I24" i="874"/>
  <c r="G13" i="258"/>
  <c r="Q22" i="874"/>
  <c r="AC66" i="874"/>
  <c r="U24" i="874"/>
  <c r="AD13" i="258"/>
  <c r="K80" i="874"/>
  <c r="Y66" i="828"/>
  <c r="AC66" i="828"/>
  <c r="I29" i="828"/>
  <c r="O60" i="257"/>
  <c r="J37" i="828"/>
  <c r="S60" i="258"/>
  <c r="E17" i="259"/>
  <c r="K34" i="828"/>
  <c r="R60" i="258"/>
  <c r="E16" i="259"/>
  <c r="K80" i="828"/>
  <c r="N25" i="828"/>
  <c r="O22" i="828"/>
  <c r="V66" i="828"/>
  <c r="F24" i="828"/>
  <c r="U66" i="828"/>
  <c r="G68" i="828"/>
  <c r="AK60" i="257"/>
  <c r="Q66" i="828"/>
  <c r="N66" i="828"/>
  <c r="P66" i="828"/>
  <c r="I80" i="828"/>
  <c r="T66" i="830"/>
  <c r="U66" i="830"/>
  <c r="O66" i="830"/>
  <c r="D22" i="830"/>
  <c r="AA66" i="830"/>
  <c r="I24" i="830"/>
  <c r="G58" i="258"/>
  <c r="AC66" i="830"/>
  <c r="I29" i="846"/>
  <c r="O41" i="257"/>
  <c r="I21" i="846"/>
  <c r="I41" i="257"/>
  <c r="J37" i="846"/>
  <c r="S41" i="258"/>
  <c r="K80" i="846"/>
  <c r="J34" i="846"/>
  <c r="Q41" i="258"/>
  <c r="N22" i="846"/>
  <c r="U66" i="846"/>
  <c r="G68" i="846"/>
  <c r="AK41" i="257"/>
  <c r="I80" i="846"/>
  <c r="I21" i="852"/>
  <c r="F35" i="258"/>
  <c r="I24" i="852"/>
  <c r="J35" i="257"/>
  <c r="I34" i="852"/>
  <c r="T35" i="257"/>
  <c r="I80" i="852"/>
  <c r="N22" i="852"/>
  <c r="T66" i="852"/>
  <c r="U66" i="852"/>
  <c r="G68" i="852"/>
  <c r="AK35" i="257"/>
  <c r="J37" i="852"/>
  <c r="S35" i="258"/>
  <c r="AA66" i="852"/>
  <c r="K80" i="852"/>
  <c r="I29" i="878"/>
  <c r="L9" i="258"/>
  <c r="I24" i="878"/>
  <c r="G9" i="258"/>
  <c r="G68" i="878"/>
  <c r="AK9" i="257"/>
  <c r="K80" i="878"/>
  <c r="I80" i="878"/>
  <c r="Q25" i="878"/>
  <c r="N30" i="878"/>
  <c r="V9" i="258"/>
  <c r="N22" i="878"/>
  <c r="U66" i="878"/>
  <c r="Y66" i="839"/>
  <c r="I29" i="839"/>
  <c r="L49" i="258"/>
  <c r="I21" i="839"/>
  <c r="I49" i="257"/>
  <c r="I80" i="839"/>
  <c r="N22" i="839"/>
  <c r="G68" i="839"/>
  <c r="AK49" i="257"/>
  <c r="K80" i="839"/>
  <c r="I21" i="844"/>
  <c r="J37" i="844"/>
  <c r="S43" i="258"/>
  <c r="K80" i="844"/>
  <c r="I34" i="844"/>
  <c r="P43" i="258"/>
  <c r="N22" i="844"/>
  <c r="G68" i="844"/>
  <c r="AK43" i="257"/>
  <c r="I80" i="844"/>
  <c r="J29" i="851"/>
  <c r="M36" i="258"/>
  <c r="K80" i="851"/>
  <c r="I34" i="851"/>
  <c r="P36" i="258"/>
  <c r="N22" i="851"/>
  <c r="D29" i="851"/>
  <c r="D36" i="258"/>
  <c r="G68" i="851"/>
  <c r="AK36" i="257"/>
  <c r="I80" i="851"/>
  <c r="S22" i="857"/>
  <c r="Z30" i="258"/>
  <c r="J29" i="857"/>
  <c r="M30" i="258"/>
  <c r="I31" i="857"/>
  <c r="S30" i="257"/>
  <c r="N25" i="857"/>
  <c r="N30" i="857"/>
  <c r="V30" i="258"/>
  <c r="N22" i="857"/>
  <c r="D29" i="857"/>
  <c r="D30" i="258"/>
  <c r="G68" i="857"/>
  <c r="AK30" i="257"/>
  <c r="I80" i="857"/>
  <c r="K80" i="857"/>
  <c r="AC66" i="860"/>
  <c r="J29" i="860"/>
  <c r="M27" i="258"/>
  <c r="I24" i="860"/>
  <c r="G27" i="258"/>
  <c r="J37" i="860"/>
  <c r="S27" i="258"/>
  <c r="G68" i="860"/>
  <c r="AK27" i="257"/>
  <c r="K80" i="860"/>
  <c r="N25" i="860"/>
  <c r="N22" i="860"/>
  <c r="N30" i="860"/>
  <c r="AD27" i="257"/>
  <c r="U66" i="860"/>
  <c r="V66" i="860"/>
  <c r="Q66" i="860"/>
  <c r="I80" i="860"/>
  <c r="J29" i="868"/>
  <c r="P19" i="257"/>
  <c r="J37" i="868"/>
  <c r="S19" i="258"/>
  <c r="T17" i="259"/>
  <c r="I34" i="868"/>
  <c r="P19" i="258"/>
  <c r="T14" i="259"/>
  <c r="N25" i="868"/>
  <c r="N30" i="868"/>
  <c r="AD19" i="257"/>
  <c r="G68" i="868"/>
  <c r="AK19" i="257"/>
  <c r="U66" i="868"/>
  <c r="I80" i="868"/>
  <c r="AA22" i="258"/>
  <c r="I26" i="865"/>
  <c r="K24" i="865"/>
  <c r="I22" i="258"/>
  <c r="I22" i="257"/>
  <c r="F22" i="258"/>
  <c r="K34" i="865"/>
  <c r="V22" i="257"/>
  <c r="P22" i="865"/>
  <c r="Q22" i="865"/>
  <c r="D29" i="865"/>
  <c r="D22" i="258"/>
  <c r="V66" i="865"/>
  <c r="F24" i="865"/>
  <c r="Q66" i="865"/>
  <c r="M34" i="865"/>
  <c r="Z22" i="257"/>
  <c r="D26" i="865"/>
  <c r="C22" i="257"/>
  <c r="J29" i="865"/>
  <c r="P22" i="258"/>
  <c r="AI22" i="258"/>
  <c r="F26" i="865"/>
  <c r="F22" i="257"/>
  <c r="K29" i="865"/>
  <c r="P25" i="865"/>
  <c r="AE66" i="865"/>
  <c r="S30" i="865"/>
  <c r="AB22" i="258"/>
  <c r="L34" i="865"/>
  <c r="Y22" i="257"/>
  <c r="J22" i="257"/>
  <c r="Q22" i="258"/>
  <c r="S24" i="865"/>
  <c r="AI22" i="257"/>
  <c r="K22" i="257"/>
  <c r="S22" i="875"/>
  <c r="I26" i="875"/>
  <c r="F12" i="258"/>
  <c r="I12" i="257"/>
  <c r="Q22" i="875"/>
  <c r="N30" i="875"/>
  <c r="N22" i="875"/>
  <c r="D29" i="875"/>
  <c r="D12" i="258"/>
  <c r="V66" i="875"/>
  <c r="D26" i="875"/>
  <c r="C12" i="257"/>
  <c r="I29" i="875"/>
  <c r="Q25" i="875"/>
  <c r="AE66" i="875"/>
  <c r="S30" i="875"/>
  <c r="AB12" i="258"/>
  <c r="L34" i="875"/>
  <c r="Y12" i="257"/>
  <c r="R12" i="258"/>
  <c r="J12" i="257"/>
  <c r="T12" i="257"/>
  <c r="U12" i="257"/>
  <c r="AI12" i="258"/>
  <c r="AA11" i="258"/>
  <c r="I26" i="876"/>
  <c r="I21" i="876"/>
  <c r="I11" i="257"/>
  <c r="P22" i="876"/>
  <c r="D29" i="876"/>
  <c r="D11" i="258"/>
  <c r="V66" i="876"/>
  <c r="F24" i="876"/>
  <c r="S66" i="876"/>
  <c r="N66" i="876"/>
  <c r="D26" i="876"/>
  <c r="C11" i="257"/>
  <c r="K29" i="876"/>
  <c r="Q25" i="876"/>
  <c r="AE66" i="876"/>
  <c r="U24" i="876"/>
  <c r="S30" i="876"/>
  <c r="AB11" i="258"/>
  <c r="L34" i="876"/>
  <c r="Y11" i="257"/>
  <c r="H11" i="258"/>
  <c r="F26" i="876"/>
  <c r="F11" i="257"/>
  <c r="K34" i="876"/>
  <c r="Y66" i="876"/>
  <c r="U22" i="876"/>
  <c r="J11" i="257"/>
  <c r="I11" i="258"/>
  <c r="U11" i="257"/>
  <c r="AI11" i="258"/>
  <c r="AE66" i="879"/>
  <c r="S22" i="879"/>
  <c r="I29" i="879"/>
  <c r="L8" i="258"/>
  <c r="I26" i="879"/>
  <c r="I21" i="879"/>
  <c r="I8" i="257"/>
  <c r="N28" i="879"/>
  <c r="U8" i="258"/>
  <c r="Q25" i="879"/>
  <c r="P22" i="879"/>
  <c r="V66" i="879"/>
  <c r="D29" i="879"/>
  <c r="D8" i="258"/>
  <c r="Q66" i="879"/>
  <c r="D24" i="879"/>
  <c r="M34" i="879"/>
  <c r="Z8" i="257"/>
  <c r="L34" i="879"/>
  <c r="Y8" i="257"/>
  <c r="P8" i="258"/>
  <c r="J34" i="879"/>
  <c r="D26" i="879"/>
  <c r="C8" i="257"/>
  <c r="F26" i="879"/>
  <c r="F8" i="257"/>
  <c r="AI8" i="258"/>
  <c r="K34" i="879"/>
  <c r="S30" i="883"/>
  <c r="AB4" i="258"/>
  <c r="AE66" i="883"/>
  <c r="S22" i="883"/>
  <c r="I26" i="883"/>
  <c r="I34" i="883"/>
  <c r="P4" i="258"/>
  <c r="J34" i="883"/>
  <c r="U4" i="257"/>
  <c r="L34" i="883"/>
  <c r="Y4" i="257"/>
  <c r="N28" i="883"/>
  <c r="U4" i="258"/>
  <c r="Q25" i="883"/>
  <c r="N30" i="883"/>
  <c r="O22" i="883"/>
  <c r="V66" i="883"/>
  <c r="S66" i="883"/>
  <c r="N66" i="883"/>
  <c r="D22" i="883"/>
  <c r="F26" i="883"/>
  <c r="F4" i="257"/>
  <c r="Y66" i="883"/>
  <c r="K4" i="257"/>
  <c r="P4" i="257"/>
  <c r="L4" i="257"/>
  <c r="D26" i="883"/>
  <c r="C4" i="257"/>
  <c r="AI4" i="258"/>
  <c r="AA52" i="258"/>
  <c r="AF52" i="257"/>
  <c r="I26" i="836"/>
  <c r="I21" i="836"/>
  <c r="I52" i="257"/>
  <c r="J24" i="836"/>
  <c r="H52" i="258"/>
  <c r="N28" i="836"/>
  <c r="AC52" i="257"/>
  <c r="P22" i="836"/>
  <c r="D29" i="836"/>
  <c r="D52" i="258"/>
  <c r="V66" i="836"/>
  <c r="F24" i="836"/>
  <c r="D24" i="836"/>
  <c r="M34" i="836"/>
  <c r="Z52" i="257"/>
  <c r="K34" i="836"/>
  <c r="P52" i="258"/>
  <c r="AI52" i="258"/>
  <c r="L52" i="257"/>
  <c r="G52" i="258"/>
  <c r="D26" i="836"/>
  <c r="C52" i="257"/>
  <c r="F26" i="836"/>
  <c r="F52" i="257"/>
  <c r="I29" i="836"/>
  <c r="Q25" i="836"/>
  <c r="AE66" i="836"/>
  <c r="U24" i="836"/>
  <c r="S30" i="836"/>
  <c r="AB52" i="258"/>
  <c r="L34" i="836"/>
  <c r="Y52" i="257"/>
  <c r="S22" i="845"/>
  <c r="U24" i="845"/>
  <c r="AD42" i="258"/>
  <c r="I26" i="845"/>
  <c r="K24" i="845"/>
  <c r="L42" i="257"/>
  <c r="J34" i="845"/>
  <c r="Q42" i="258"/>
  <c r="N28" i="845"/>
  <c r="AC42" i="257"/>
  <c r="N25" i="845"/>
  <c r="AD42" i="257"/>
  <c r="Q22" i="845"/>
  <c r="U42" i="258"/>
  <c r="O22" i="845"/>
  <c r="M34" i="845"/>
  <c r="Z42" i="257"/>
  <c r="N34" i="845"/>
  <c r="AA42" i="257"/>
  <c r="K29" i="845"/>
  <c r="P25" i="845"/>
  <c r="H42" i="258"/>
  <c r="R42" i="258"/>
  <c r="J42" i="257"/>
  <c r="T42" i="257"/>
  <c r="D26" i="845"/>
  <c r="C42" i="257"/>
  <c r="AI42" i="258"/>
  <c r="S24" i="845"/>
  <c r="AI42" i="257"/>
  <c r="F26" i="845"/>
  <c r="F42" i="257"/>
  <c r="J29" i="845"/>
  <c r="S22" i="858"/>
  <c r="U22" i="858"/>
  <c r="AG29" i="257"/>
  <c r="I26" i="858"/>
  <c r="K24" i="858"/>
  <c r="L29" i="257"/>
  <c r="K34" i="858"/>
  <c r="V29" i="257"/>
  <c r="P22" i="858"/>
  <c r="Q22" i="858"/>
  <c r="D29" i="858"/>
  <c r="D29" i="258"/>
  <c r="V66" i="858"/>
  <c r="F24" i="858"/>
  <c r="Q66" i="858"/>
  <c r="D24" i="858"/>
  <c r="M34" i="858"/>
  <c r="Z29" i="257"/>
  <c r="D26" i="858"/>
  <c r="C29" i="257"/>
  <c r="J29" i="858"/>
  <c r="H29" i="258"/>
  <c r="F26" i="858"/>
  <c r="F29" i="257"/>
  <c r="K29" i="858"/>
  <c r="P25" i="858"/>
  <c r="AE66" i="858"/>
  <c r="U24" i="858"/>
  <c r="S30" i="858"/>
  <c r="AB29" i="258"/>
  <c r="L34" i="858"/>
  <c r="Y29" i="257"/>
  <c r="S24" i="858"/>
  <c r="AI29" i="257"/>
  <c r="U29" i="257"/>
  <c r="AI29" i="258"/>
  <c r="AA26" i="258"/>
  <c r="U22" i="861"/>
  <c r="AG26" i="257"/>
  <c r="I26" i="861"/>
  <c r="I21" i="861"/>
  <c r="F26" i="258"/>
  <c r="J24" i="861"/>
  <c r="K26" i="257"/>
  <c r="I34" i="861"/>
  <c r="P26" i="258"/>
  <c r="AC26" i="257"/>
  <c r="D29" i="861"/>
  <c r="D26" i="258"/>
  <c r="V66" i="861"/>
  <c r="Q66" i="861"/>
  <c r="D24" i="861"/>
  <c r="S24" i="861"/>
  <c r="AI26" i="257"/>
  <c r="Q26" i="258"/>
  <c r="M26" i="258"/>
  <c r="Q12" i="259"/>
  <c r="D26" i="861"/>
  <c r="C26" i="257"/>
  <c r="F26" i="861"/>
  <c r="F26" i="257"/>
  <c r="K29" i="861"/>
  <c r="Q25" i="861"/>
  <c r="AE66" i="861"/>
  <c r="U24" i="861"/>
  <c r="S30" i="861"/>
  <c r="AB26" i="258"/>
  <c r="L34" i="861"/>
  <c r="Y26" i="257"/>
  <c r="AI26" i="258"/>
  <c r="AA21" i="258"/>
  <c r="Z21" i="258"/>
  <c r="I26" i="866"/>
  <c r="I31" i="866"/>
  <c r="S21" i="257"/>
  <c r="N28" i="866"/>
  <c r="U21" i="258"/>
  <c r="P22" i="866"/>
  <c r="D29" i="866"/>
  <c r="D21" i="258"/>
  <c r="Q66" i="866"/>
  <c r="M34" i="866"/>
  <c r="Z21" i="257"/>
  <c r="L21" i="257"/>
  <c r="P21" i="258"/>
  <c r="AI21" i="258"/>
  <c r="D26" i="866"/>
  <c r="C21" i="257"/>
  <c r="Q21" i="258"/>
  <c r="F26" i="866"/>
  <c r="F21" i="257"/>
  <c r="I29" i="866"/>
  <c r="Q25" i="866"/>
  <c r="AE66" i="866"/>
  <c r="U24" i="866"/>
  <c r="S30" i="866"/>
  <c r="AB21" i="258"/>
  <c r="L34" i="866"/>
  <c r="Y21" i="257"/>
  <c r="M21" i="258"/>
  <c r="K34" i="866"/>
  <c r="AA10" i="258"/>
  <c r="I26" i="877"/>
  <c r="J24" i="877"/>
  <c r="H10" i="258"/>
  <c r="I34" i="877"/>
  <c r="T10" i="257"/>
  <c r="N28" i="877"/>
  <c r="U10" i="258"/>
  <c r="D29" i="877"/>
  <c r="D10" i="258"/>
  <c r="V66" i="877"/>
  <c r="Q66" i="877"/>
  <c r="K34" i="877"/>
  <c r="L10" i="257"/>
  <c r="AI10" i="258"/>
  <c r="D26" i="877"/>
  <c r="C10" i="257"/>
  <c r="Q10" i="258"/>
  <c r="F26" i="877"/>
  <c r="F10" i="257"/>
  <c r="I29" i="877"/>
  <c r="Q25" i="877"/>
  <c r="AE66" i="877"/>
  <c r="S30" i="877"/>
  <c r="AB10" i="258"/>
  <c r="L34" i="877"/>
  <c r="Y10" i="257"/>
  <c r="AA57" i="258"/>
  <c r="U22" i="831"/>
  <c r="AC57" i="258"/>
  <c r="I26" i="831"/>
  <c r="I21" i="831"/>
  <c r="F57" i="258"/>
  <c r="J34" i="831"/>
  <c r="Q57" i="258"/>
  <c r="N25" i="831"/>
  <c r="P22" i="831"/>
  <c r="D29" i="831"/>
  <c r="D57" i="258"/>
  <c r="V66" i="831"/>
  <c r="Q66" i="831"/>
  <c r="D24" i="831"/>
  <c r="M34" i="831"/>
  <c r="Z57" i="257"/>
  <c r="D26" i="831"/>
  <c r="C57" i="257"/>
  <c r="P57" i="257"/>
  <c r="G57" i="258"/>
  <c r="F26" i="831"/>
  <c r="F57" i="257"/>
  <c r="L57" i="257"/>
  <c r="V57" i="257"/>
  <c r="S24" i="831"/>
  <c r="AI57" i="257"/>
  <c r="K29" i="831"/>
  <c r="P25" i="831"/>
  <c r="AE66" i="831"/>
  <c r="U24" i="831"/>
  <c r="S30" i="831"/>
  <c r="AB57" i="258"/>
  <c r="L34" i="831"/>
  <c r="Y57" i="257"/>
  <c r="T57" i="257"/>
  <c r="AI57" i="258"/>
  <c r="AA54" i="258"/>
  <c r="I26" i="834"/>
  <c r="I54" i="257"/>
  <c r="F54" i="258"/>
  <c r="I34" i="834"/>
  <c r="T54" i="257"/>
  <c r="N25" i="834"/>
  <c r="N28" i="834"/>
  <c r="U54" i="258"/>
  <c r="Q22" i="834"/>
  <c r="O22" i="834"/>
  <c r="D29" i="834"/>
  <c r="D54" i="258"/>
  <c r="V66" i="834"/>
  <c r="D24" i="834"/>
  <c r="M34" i="834"/>
  <c r="Z54" i="257"/>
  <c r="K54" i="257"/>
  <c r="P54" i="257"/>
  <c r="U54" i="257"/>
  <c r="D26" i="834"/>
  <c r="C54" i="257"/>
  <c r="V54" i="257"/>
  <c r="AI54" i="258"/>
  <c r="K24" i="834"/>
  <c r="F26" i="834"/>
  <c r="F54" i="257"/>
  <c r="S24" i="834"/>
  <c r="AI54" i="257"/>
  <c r="K29" i="834"/>
  <c r="P25" i="834"/>
  <c r="AE66" i="834"/>
  <c r="S30" i="834"/>
  <c r="AB54" i="258"/>
  <c r="L34" i="834"/>
  <c r="Y54" i="257"/>
  <c r="AA53" i="258"/>
  <c r="AF53" i="257"/>
  <c r="I26" i="835"/>
  <c r="I53" i="257"/>
  <c r="F53" i="258"/>
  <c r="I34" i="835"/>
  <c r="T53" i="257"/>
  <c r="N28" i="835"/>
  <c r="U53" i="258"/>
  <c r="N25" i="835"/>
  <c r="D29" i="835"/>
  <c r="D53" i="258"/>
  <c r="V66" i="835"/>
  <c r="Q66" i="835"/>
  <c r="D24" i="835"/>
  <c r="M34" i="835"/>
  <c r="Z53" i="257"/>
  <c r="K53" i="257"/>
  <c r="D26" i="835"/>
  <c r="C53" i="257"/>
  <c r="V53" i="257"/>
  <c r="AI53" i="258"/>
  <c r="K24" i="835"/>
  <c r="F26" i="835"/>
  <c r="F53" i="257"/>
  <c r="L53" i="258"/>
  <c r="S24" i="835"/>
  <c r="AI53" i="257"/>
  <c r="K29" i="835"/>
  <c r="P25" i="835"/>
  <c r="AE66" i="835"/>
  <c r="U24" i="835"/>
  <c r="S30" i="835"/>
  <c r="AB53" i="258"/>
  <c r="L34" i="835"/>
  <c r="Y53" i="257"/>
  <c r="AA37" i="258"/>
  <c r="I26" i="850"/>
  <c r="F37" i="258"/>
  <c r="I31" i="850"/>
  <c r="S37" i="257"/>
  <c r="N28" i="850"/>
  <c r="U37" i="258"/>
  <c r="N30" i="850"/>
  <c r="O22" i="850"/>
  <c r="P22" i="850"/>
  <c r="D29" i="850"/>
  <c r="D37" i="258"/>
  <c r="V66" i="850"/>
  <c r="F24" i="850"/>
  <c r="Q66" i="850"/>
  <c r="D24" i="850"/>
  <c r="M34" i="850"/>
  <c r="Z37" i="257"/>
  <c r="K37" i="257"/>
  <c r="P37" i="257"/>
  <c r="G37" i="258"/>
  <c r="D26" i="850"/>
  <c r="C37" i="257"/>
  <c r="K29" i="850"/>
  <c r="P25" i="850"/>
  <c r="AE66" i="850"/>
  <c r="U24" i="850"/>
  <c r="S30" i="850"/>
  <c r="AB37" i="258"/>
  <c r="L34" i="850"/>
  <c r="Y37" i="257"/>
  <c r="L37" i="257"/>
  <c r="F26" i="850"/>
  <c r="F37" i="257"/>
  <c r="K34" i="850"/>
  <c r="S24" i="850"/>
  <c r="AI37" i="257"/>
  <c r="T37" i="257"/>
  <c r="AI37" i="258"/>
  <c r="AA15" i="258"/>
  <c r="N23" i="259"/>
  <c r="AF15" i="257"/>
  <c r="I26" i="872"/>
  <c r="I21" i="872"/>
  <c r="F15" i="258"/>
  <c r="K24" i="872"/>
  <c r="L15" i="257"/>
  <c r="N30" i="872"/>
  <c r="O22" i="872"/>
  <c r="S66" i="872"/>
  <c r="F22" i="872"/>
  <c r="Q66" i="872"/>
  <c r="D24" i="872"/>
  <c r="N66" i="872"/>
  <c r="D22" i="872"/>
  <c r="M34" i="872"/>
  <c r="Z15" i="257"/>
  <c r="J24" i="872"/>
  <c r="D26" i="872"/>
  <c r="C15" i="257"/>
  <c r="J29" i="872"/>
  <c r="J15" i="257"/>
  <c r="T15" i="257"/>
  <c r="F26" i="872"/>
  <c r="F15" i="257"/>
  <c r="K29" i="872"/>
  <c r="P25" i="872"/>
  <c r="AE66" i="872"/>
  <c r="U24" i="872"/>
  <c r="S30" i="872"/>
  <c r="AB15" i="258"/>
  <c r="N24" i="259"/>
  <c r="L34" i="872"/>
  <c r="Y15" i="257"/>
  <c r="AI15" i="258"/>
  <c r="N30" i="259"/>
  <c r="K34" i="872"/>
  <c r="Y66" i="872"/>
  <c r="U22" i="872"/>
  <c r="S24" i="885"/>
  <c r="AI2" i="257"/>
  <c r="S30" i="885"/>
  <c r="AB2" i="258"/>
  <c r="AE66" i="885"/>
  <c r="AA2" i="258"/>
  <c r="I26" i="885"/>
  <c r="F2" i="258"/>
  <c r="I31" i="885"/>
  <c r="S2" i="257"/>
  <c r="I34" i="885"/>
  <c r="T2" i="257"/>
  <c r="K34" i="885"/>
  <c r="V2" i="257"/>
  <c r="L34" i="885"/>
  <c r="Y2" i="257"/>
  <c r="N28" i="885"/>
  <c r="U2" i="258"/>
  <c r="P25" i="885"/>
  <c r="P22" i="885"/>
  <c r="D29" i="885"/>
  <c r="D2" i="258"/>
  <c r="V66" i="885"/>
  <c r="U2" i="257"/>
  <c r="L2" i="257"/>
  <c r="Q2" i="257"/>
  <c r="AI2" i="258"/>
  <c r="J24" i="885"/>
  <c r="D26" i="885"/>
  <c r="C2" i="257"/>
  <c r="J29" i="885"/>
  <c r="O2" i="257"/>
  <c r="T66" i="859"/>
  <c r="F22" i="859"/>
  <c r="S22" i="837"/>
  <c r="Z51" i="258"/>
  <c r="Q22" i="259"/>
  <c r="N28" i="837"/>
  <c r="AC51" i="257"/>
  <c r="I29" i="830"/>
  <c r="L58" i="258"/>
  <c r="I21" i="830"/>
  <c r="F58" i="258"/>
  <c r="J37" i="830"/>
  <c r="S58" i="258"/>
  <c r="J34" i="830"/>
  <c r="Q58" i="258"/>
  <c r="K80" i="830"/>
  <c r="N22" i="830"/>
  <c r="G68" i="830"/>
  <c r="AK58" i="257"/>
  <c r="P66" i="830"/>
  <c r="I80" i="830"/>
  <c r="I29" i="837"/>
  <c r="O51" i="257"/>
  <c r="I24" i="837"/>
  <c r="J51" i="257"/>
  <c r="K80" i="837"/>
  <c r="N30" i="837"/>
  <c r="AD51" i="257"/>
  <c r="U66" i="837"/>
  <c r="G68" i="837"/>
  <c r="AK51" i="257"/>
  <c r="I34" i="837"/>
  <c r="T51" i="257"/>
  <c r="Y66" i="837"/>
  <c r="J37" i="837"/>
  <c r="S51" i="258"/>
  <c r="Q17" i="259"/>
  <c r="AA66" i="837"/>
  <c r="I80" i="837"/>
  <c r="L31" i="837"/>
  <c r="X51" i="257"/>
  <c r="I29" i="842"/>
  <c r="L45" i="258"/>
  <c r="I21" i="842"/>
  <c r="F45" i="258"/>
  <c r="I24" i="842"/>
  <c r="G45" i="258"/>
  <c r="I34" i="842"/>
  <c r="P45" i="258"/>
  <c r="K80" i="842"/>
  <c r="U66" i="842"/>
  <c r="G68" i="842"/>
  <c r="AK45" i="257"/>
  <c r="O66" i="842"/>
  <c r="I80" i="842"/>
  <c r="L31" i="842"/>
  <c r="X45" i="257"/>
  <c r="I21" i="854"/>
  <c r="F33" i="258"/>
  <c r="J37" i="854"/>
  <c r="S33" i="258"/>
  <c r="J34" i="854"/>
  <c r="Q33" i="258"/>
  <c r="K80" i="854"/>
  <c r="U66" i="854"/>
  <c r="G68" i="854"/>
  <c r="AK33" i="257"/>
  <c r="I80" i="854"/>
  <c r="AA66" i="859"/>
  <c r="I29" i="859"/>
  <c r="L28" i="258"/>
  <c r="I24" i="859"/>
  <c r="G28" i="258"/>
  <c r="I21" i="859"/>
  <c r="F28" i="258"/>
  <c r="I37" i="859"/>
  <c r="K34" i="859"/>
  <c r="V28" i="257"/>
  <c r="K80" i="859"/>
  <c r="N28" i="859"/>
  <c r="U28" i="258"/>
  <c r="N30" i="859"/>
  <c r="V28" i="258"/>
  <c r="G68" i="859"/>
  <c r="AK28" i="257"/>
  <c r="D26" i="859"/>
  <c r="C28" i="257"/>
  <c r="P66" i="859"/>
  <c r="I80" i="859"/>
  <c r="Y66" i="881"/>
  <c r="AA6" i="258"/>
  <c r="I29" i="881"/>
  <c r="O6" i="257"/>
  <c r="I26" i="881"/>
  <c r="N6" i="257"/>
  <c r="N30" i="881"/>
  <c r="V6" i="258"/>
  <c r="T66" i="881"/>
  <c r="U66" i="881"/>
  <c r="G68" i="881"/>
  <c r="AK6" i="257"/>
  <c r="O66" i="881"/>
  <c r="D22" i="881"/>
  <c r="P66" i="881"/>
  <c r="I80" i="881"/>
  <c r="J37" i="881"/>
  <c r="S6" i="258"/>
  <c r="AA66" i="881"/>
  <c r="U22" i="881"/>
  <c r="I24" i="881"/>
  <c r="J6" i="257"/>
  <c r="N22" i="881"/>
  <c r="AC66" i="881"/>
  <c r="K80" i="881"/>
  <c r="S22" i="830"/>
  <c r="I26" i="830"/>
  <c r="J24" i="830"/>
  <c r="H58" i="258"/>
  <c r="I31" i="830"/>
  <c r="S58" i="257"/>
  <c r="N28" i="830"/>
  <c r="U58" i="258"/>
  <c r="N30" i="830"/>
  <c r="O22" i="830"/>
  <c r="P22" i="830"/>
  <c r="D29" i="830"/>
  <c r="D58" i="258"/>
  <c r="V66" i="830"/>
  <c r="Q66" i="830"/>
  <c r="M34" i="830"/>
  <c r="Z58" i="257"/>
  <c r="D26" i="830"/>
  <c r="C58" i="257"/>
  <c r="K29" i="830"/>
  <c r="Q25" i="830"/>
  <c r="AE66" i="830"/>
  <c r="S30" i="830"/>
  <c r="AB58" i="258"/>
  <c r="L34" i="830"/>
  <c r="Y58" i="257"/>
  <c r="P58" i="257"/>
  <c r="F26" i="830"/>
  <c r="F58" i="257"/>
  <c r="K34" i="830"/>
  <c r="S24" i="830"/>
  <c r="AI58" i="257"/>
  <c r="P58" i="258"/>
  <c r="AI58" i="258"/>
  <c r="AA51" i="258"/>
  <c r="I26" i="837"/>
  <c r="I21" i="837"/>
  <c r="F51" i="258"/>
  <c r="Q6" i="259"/>
  <c r="J24" i="837"/>
  <c r="H51" i="258"/>
  <c r="J34" i="837"/>
  <c r="Q51" i="258"/>
  <c r="Q15" i="259"/>
  <c r="I31" i="837"/>
  <c r="S51" i="257"/>
  <c r="N25" i="837"/>
  <c r="O22" i="837"/>
  <c r="P22" i="837"/>
  <c r="D29" i="837"/>
  <c r="D51" i="258"/>
  <c r="Q5" i="259"/>
  <c r="V66" i="837"/>
  <c r="Q66" i="837"/>
  <c r="D24" i="837"/>
  <c r="M34" i="837"/>
  <c r="Z51" i="257"/>
  <c r="D26" i="837"/>
  <c r="C51" i="257"/>
  <c r="P51" i="257"/>
  <c r="AI51" i="258"/>
  <c r="Q30" i="259"/>
  <c r="F26" i="837"/>
  <c r="F51" i="257"/>
  <c r="L51" i="257"/>
  <c r="V51" i="257"/>
  <c r="S24" i="837"/>
  <c r="AI51" i="257"/>
  <c r="K29" i="837"/>
  <c r="P25" i="837"/>
  <c r="AE66" i="837"/>
  <c r="U24" i="837"/>
  <c r="S30" i="837"/>
  <c r="AB51" i="258"/>
  <c r="L34" i="837"/>
  <c r="Y51" i="257"/>
  <c r="S24" i="842"/>
  <c r="AI45" i="257"/>
  <c r="S22" i="842"/>
  <c r="I26" i="842"/>
  <c r="K24" i="842"/>
  <c r="L45" i="257"/>
  <c r="I31" i="842"/>
  <c r="S45" i="257"/>
  <c r="N28" i="842"/>
  <c r="AC45" i="257"/>
  <c r="N30" i="842"/>
  <c r="D29" i="842"/>
  <c r="D45" i="258"/>
  <c r="V66" i="842"/>
  <c r="S66" i="842"/>
  <c r="F22" i="842"/>
  <c r="N66" i="842"/>
  <c r="Q66" i="842"/>
  <c r="D24" i="842"/>
  <c r="M34" i="842"/>
  <c r="Z45" i="257"/>
  <c r="J24" i="842"/>
  <c r="D26" i="842"/>
  <c r="C45" i="257"/>
  <c r="J29" i="842"/>
  <c r="K29" i="842"/>
  <c r="P25" i="842"/>
  <c r="AE66" i="842"/>
  <c r="U24" i="842"/>
  <c r="S30" i="842"/>
  <c r="AB45" i="258"/>
  <c r="L34" i="842"/>
  <c r="Y45" i="257"/>
  <c r="U45" i="257"/>
  <c r="AI45" i="258"/>
  <c r="K34" i="842"/>
  <c r="Y66" i="842"/>
  <c r="U22" i="842"/>
  <c r="AA33" i="258"/>
  <c r="U22" i="854"/>
  <c r="AG33" i="257"/>
  <c r="I26" i="854"/>
  <c r="I31" i="854"/>
  <c r="S33" i="257"/>
  <c r="N28" i="854"/>
  <c r="U33" i="258"/>
  <c r="N30" i="854"/>
  <c r="O22" i="854"/>
  <c r="D29" i="854"/>
  <c r="D33" i="258"/>
  <c r="F22" i="854"/>
  <c r="V66" i="854"/>
  <c r="D22" i="854"/>
  <c r="Q66" i="854"/>
  <c r="M34" i="854"/>
  <c r="Z33" i="257"/>
  <c r="K33" i="257"/>
  <c r="P33" i="257"/>
  <c r="U33" i="257"/>
  <c r="D26" i="854"/>
  <c r="C33" i="257"/>
  <c r="I29" i="854"/>
  <c r="Q25" i="854"/>
  <c r="AE66" i="854"/>
  <c r="S30" i="854"/>
  <c r="AB33" i="258"/>
  <c r="L34" i="854"/>
  <c r="Y33" i="257"/>
  <c r="P33" i="258"/>
  <c r="AI33" i="258"/>
  <c r="F26" i="854"/>
  <c r="F33" i="257"/>
  <c r="K34" i="854"/>
  <c r="G33" i="258"/>
  <c r="K24" i="854"/>
  <c r="AA28" i="258"/>
  <c r="I26" i="859"/>
  <c r="J37" i="859"/>
  <c r="S28" i="258"/>
  <c r="L34" i="859"/>
  <c r="Y28" i="257"/>
  <c r="I31" i="859"/>
  <c r="S28" i="257"/>
  <c r="D29" i="859"/>
  <c r="D28" i="258"/>
  <c r="V66" i="859"/>
  <c r="F24" i="859"/>
  <c r="Q66" i="859"/>
  <c r="M34" i="859"/>
  <c r="Z28" i="257"/>
  <c r="M28" i="258"/>
  <c r="K24" i="859"/>
  <c r="P22" i="859"/>
  <c r="AI28" i="258"/>
  <c r="K29" i="859"/>
  <c r="P25" i="859"/>
  <c r="AE66" i="859"/>
  <c r="U24" i="859"/>
  <c r="N34" i="859"/>
  <c r="AA28" i="257"/>
  <c r="AF6" i="257"/>
  <c r="F6" i="258"/>
  <c r="I6" i="257"/>
  <c r="J34" i="881"/>
  <c r="U6" i="257"/>
  <c r="I31" i="881"/>
  <c r="S6" i="257"/>
  <c r="N28" i="881"/>
  <c r="U6" i="258"/>
  <c r="Q22" i="881"/>
  <c r="P22" i="881"/>
  <c r="V66" i="881"/>
  <c r="D29" i="881"/>
  <c r="D6" i="258"/>
  <c r="Q66" i="881"/>
  <c r="M34" i="881"/>
  <c r="Z6" i="257"/>
  <c r="D26" i="881"/>
  <c r="C6" i="257"/>
  <c r="J24" i="881"/>
  <c r="F26" i="881"/>
  <c r="F6" i="257"/>
  <c r="T6" i="257"/>
  <c r="R6" i="258"/>
  <c r="K29" i="881"/>
  <c r="P25" i="881"/>
  <c r="AE66" i="881"/>
  <c r="S30" i="881"/>
  <c r="AB6" i="258"/>
  <c r="L34" i="881"/>
  <c r="Y6" i="257"/>
  <c r="I6" i="258"/>
  <c r="S24" i="881"/>
  <c r="AI6" i="257"/>
  <c r="AI6" i="258"/>
  <c r="S24" i="887"/>
  <c r="AI48" i="257"/>
  <c r="S22" i="887"/>
  <c r="N48" i="258"/>
  <c r="J29" i="887"/>
  <c r="M48" i="258"/>
  <c r="O48" i="257"/>
  <c r="I26" i="887"/>
  <c r="I48" i="258"/>
  <c r="J48" i="257"/>
  <c r="N30" i="887"/>
  <c r="P22" i="887"/>
  <c r="M34" i="887"/>
  <c r="N34" i="887"/>
  <c r="L34" i="887"/>
  <c r="Q48" i="258"/>
  <c r="U48" i="257"/>
  <c r="I34" i="887"/>
  <c r="AI48" i="258"/>
  <c r="D26" i="887"/>
  <c r="C48" i="257"/>
  <c r="K34" i="887"/>
  <c r="Y66" i="887"/>
  <c r="U22" i="887"/>
  <c r="F26" i="887"/>
  <c r="F48" i="257"/>
  <c r="AA47" i="258"/>
  <c r="U22" i="840"/>
  <c r="AG47" i="257"/>
  <c r="I26" i="840"/>
  <c r="I21" i="840"/>
  <c r="F47" i="258"/>
  <c r="K24" i="840"/>
  <c r="L47" i="257"/>
  <c r="I31" i="840"/>
  <c r="S47" i="257"/>
  <c r="K34" i="840"/>
  <c r="V47" i="257"/>
  <c r="N28" i="840"/>
  <c r="U47" i="258"/>
  <c r="AD47" i="257"/>
  <c r="Q22" i="840"/>
  <c r="D29" i="840"/>
  <c r="D47" i="258"/>
  <c r="V66" i="840"/>
  <c r="F24" i="840"/>
  <c r="D22" i="840"/>
  <c r="Q66" i="840"/>
  <c r="D24" i="840"/>
  <c r="M34" i="840"/>
  <c r="Z47" i="257"/>
  <c r="D26" i="840"/>
  <c r="C47" i="257"/>
  <c r="G47" i="258"/>
  <c r="L47" i="258"/>
  <c r="Q47" i="258"/>
  <c r="F26" i="840"/>
  <c r="F47" i="257"/>
  <c r="K29" i="840"/>
  <c r="Q25" i="840"/>
  <c r="AE66" i="840"/>
  <c r="U24" i="840"/>
  <c r="S30" i="840"/>
  <c r="AB47" i="258"/>
  <c r="L34" i="840"/>
  <c r="Y47" i="257"/>
  <c r="T47" i="257"/>
  <c r="H47" i="258"/>
  <c r="M47" i="258"/>
  <c r="S24" i="840"/>
  <c r="AI47" i="257"/>
  <c r="AI47" i="258"/>
  <c r="S22" i="846"/>
  <c r="U22" i="846"/>
  <c r="AC41" i="258"/>
  <c r="I26" i="846"/>
  <c r="J24" i="846"/>
  <c r="H41" i="258"/>
  <c r="I31" i="846"/>
  <c r="S41" i="257"/>
  <c r="N28" i="846"/>
  <c r="AC41" i="257"/>
  <c r="P22" i="846"/>
  <c r="N30" i="846"/>
  <c r="O22" i="846"/>
  <c r="D29" i="846"/>
  <c r="D41" i="258"/>
  <c r="F22" i="846"/>
  <c r="V66" i="846"/>
  <c r="D22" i="846"/>
  <c r="Q66" i="846"/>
  <c r="D24" i="846"/>
  <c r="M34" i="846"/>
  <c r="Z41" i="257"/>
  <c r="S24" i="846"/>
  <c r="AI41" i="257"/>
  <c r="P41" i="257"/>
  <c r="AI41" i="258"/>
  <c r="L41" i="257"/>
  <c r="G41" i="258"/>
  <c r="D26" i="846"/>
  <c r="C41" i="257"/>
  <c r="K29" i="846"/>
  <c r="O25" i="846"/>
  <c r="AE66" i="846"/>
  <c r="U24" i="846"/>
  <c r="S30" i="846"/>
  <c r="AB41" i="258"/>
  <c r="L34" i="846"/>
  <c r="Y41" i="257"/>
  <c r="F26" i="846"/>
  <c r="F41" i="257"/>
  <c r="K34" i="846"/>
  <c r="S22" i="848"/>
  <c r="I26" i="848"/>
  <c r="I34" i="848"/>
  <c r="P39" i="258"/>
  <c r="N28" i="848"/>
  <c r="U39" i="258"/>
  <c r="O22" i="848"/>
  <c r="P22" i="848"/>
  <c r="D29" i="848"/>
  <c r="D39" i="258"/>
  <c r="V66" i="848"/>
  <c r="F24" i="848"/>
  <c r="Q66" i="848"/>
  <c r="D24" i="848"/>
  <c r="M34" i="848"/>
  <c r="Z39" i="257"/>
  <c r="I29" i="848"/>
  <c r="Q25" i="848"/>
  <c r="AE66" i="848"/>
  <c r="U24" i="848"/>
  <c r="S30" i="848"/>
  <c r="AB39" i="258"/>
  <c r="L34" i="848"/>
  <c r="Y39" i="257"/>
  <c r="U39" i="257"/>
  <c r="L39" i="257"/>
  <c r="V39" i="257"/>
  <c r="D26" i="848"/>
  <c r="C39" i="257"/>
  <c r="AI39" i="258"/>
  <c r="S22" i="860"/>
  <c r="U22" i="860"/>
  <c r="AC27" i="258"/>
  <c r="I26" i="860"/>
  <c r="K24" i="860"/>
  <c r="I27" i="258"/>
  <c r="F27" i="258"/>
  <c r="I27" i="257"/>
  <c r="J34" i="860"/>
  <c r="Q27" i="258"/>
  <c r="I31" i="860"/>
  <c r="S27" i="257"/>
  <c r="N28" i="860"/>
  <c r="AC27" i="257"/>
  <c r="O22" i="860"/>
  <c r="Q22" i="860"/>
  <c r="F22" i="860"/>
  <c r="D22" i="860"/>
  <c r="D24" i="860"/>
  <c r="M34" i="860"/>
  <c r="Z27" i="257"/>
  <c r="N34" i="860"/>
  <c r="AA27" i="257"/>
  <c r="T27" i="257"/>
  <c r="AI27" i="258"/>
  <c r="D26" i="860"/>
  <c r="C27" i="257"/>
  <c r="K27" i="257"/>
  <c r="P27" i="257"/>
  <c r="F26" i="860"/>
  <c r="F27" i="257"/>
  <c r="I29" i="860"/>
  <c r="Q25" i="860"/>
  <c r="K34" i="860"/>
  <c r="AA7" i="258"/>
  <c r="Z7" i="258"/>
  <c r="I26" i="880"/>
  <c r="I21" i="880"/>
  <c r="F7" i="258"/>
  <c r="I34" i="880"/>
  <c r="P7" i="258"/>
  <c r="I31" i="880"/>
  <c r="S7" i="257"/>
  <c r="U7" i="258"/>
  <c r="V7" i="258"/>
  <c r="P22" i="880"/>
  <c r="V66" i="880"/>
  <c r="F24" i="880"/>
  <c r="D29" i="880"/>
  <c r="D7" i="258"/>
  <c r="M34" i="880"/>
  <c r="Z7" i="257"/>
  <c r="J7" i="257"/>
  <c r="AI7" i="258"/>
  <c r="D26" i="880"/>
  <c r="C7" i="257"/>
  <c r="P7" i="257"/>
  <c r="U7" i="257"/>
  <c r="F26" i="880"/>
  <c r="F7" i="257"/>
  <c r="I29" i="880"/>
  <c r="Q25" i="880"/>
  <c r="AE66" i="880"/>
  <c r="U24" i="880"/>
  <c r="S30" i="880"/>
  <c r="AB7" i="258"/>
  <c r="L34" i="880"/>
  <c r="Y7" i="257"/>
  <c r="L7" i="257"/>
  <c r="V7" i="257"/>
  <c r="F32" i="882"/>
  <c r="G5" i="257"/>
  <c r="F32" i="885"/>
  <c r="G2" i="257"/>
  <c r="S22" i="868"/>
  <c r="I26" i="868"/>
  <c r="I21" i="868"/>
  <c r="I19" i="257"/>
  <c r="K24" i="868"/>
  <c r="I19" i="258"/>
  <c r="T9" i="259"/>
  <c r="L31" i="868"/>
  <c r="X19" i="257"/>
  <c r="N28" i="868"/>
  <c r="U19" i="258"/>
  <c r="T18" i="259"/>
  <c r="D29" i="868"/>
  <c r="D19" i="258"/>
  <c r="T5" i="259"/>
  <c r="C19" i="258"/>
  <c r="T4" i="259"/>
  <c r="E19" i="257"/>
  <c r="V66" i="868"/>
  <c r="B19" i="258"/>
  <c r="T3" i="259"/>
  <c r="B19" i="257"/>
  <c r="Q66" i="868"/>
  <c r="D24" i="868"/>
  <c r="F26" i="868"/>
  <c r="F19" i="257"/>
  <c r="I29" i="868"/>
  <c r="Q25" i="868"/>
  <c r="AE66" i="868"/>
  <c r="U24" i="868"/>
  <c r="S30" i="868"/>
  <c r="AB19" i="258"/>
  <c r="T24" i="259"/>
  <c r="L34" i="868"/>
  <c r="Y19" i="257"/>
  <c r="G19" i="258"/>
  <c r="T7" i="259"/>
  <c r="Q19" i="258"/>
  <c r="T15" i="259"/>
  <c r="K34" i="868"/>
  <c r="H19" i="258"/>
  <c r="T8" i="259"/>
  <c r="D26" i="868"/>
  <c r="C19" i="257"/>
  <c r="AI19" i="258"/>
  <c r="T30" i="259"/>
  <c r="S22" i="869"/>
  <c r="I26" i="869"/>
  <c r="J24" i="869"/>
  <c r="K18" i="257"/>
  <c r="N28" i="869"/>
  <c r="U18" i="258"/>
  <c r="V18" i="258"/>
  <c r="C18" i="258"/>
  <c r="E18" i="257"/>
  <c r="V66" i="869"/>
  <c r="F24" i="869"/>
  <c r="S66" i="869"/>
  <c r="F22" i="869"/>
  <c r="B18" i="258"/>
  <c r="D32" i="869"/>
  <c r="D18" i="257"/>
  <c r="B18" i="257"/>
  <c r="Q66" i="869"/>
  <c r="N66" i="869"/>
  <c r="D22" i="869"/>
  <c r="M34" i="869"/>
  <c r="Z18" i="257"/>
  <c r="K29" i="869"/>
  <c r="P25" i="869"/>
  <c r="AE66" i="869"/>
  <c r="U24" i="869"/>
  <c r="S30" i="869"/>
  <c r="AB18" i="258"/>
  <c r="L34" i="869"/>
  <c r="Y18" i="257"/>
  <c r="L18" i="257"/>
  <c r="G18" i="258"/>
  <c r="Q18" i="258"/>
  <c r="K34" i="869"/>
  <c r="Y66" i="869"/>
  <c r="U22" i="869"/>
  <c r="M18" i="258"/>
  <c r="S24" i="869"/>
  <c r="AI18" i="257"/>
  <c r="T18" i="257"/>
  <c r="AI18" i="258"/>
  <c r="S22" i="871"/>
  <c r="I26" i="871"/>
  <c r="I21" i="871"/>
  <c r="I16" i="257"/>
  <c r="K24" i="871"/>
  <c r="I16" i="258"/>
  <c r="I31" i="871"/>
  <c r="S16" i="257"/>
  <c r="L31" i="871"/>
  <c r="X16" i="257"/>
  <c r="N28" i="871"/>
  <c r="U16" i="258"/>
  <c r="P22" i="871"/>
  <c r="AD16" i="257"/>
  <c r="D29" i="871"/>
  <c r="D16" i="258"/>
  <c r="E16" i="257"/>
  <c r="C16" i="258"/>
  <c r="V66" i="871"/>
  <c r="S66" i="871"/>
  <c r="F22" i="871"/>
  <c r="B16" i="258"/>
  <c r="Q66" i="871"/>
  <c r="D24" i="871"/>
  <c r="N66" i="871"/>
  <c r="D22" i="871"/>
  <c r="M34" i="871"/>
  <c r="Z16" i="257"/>
  <c r="J24" i="871"/>
  <c r="D26" i="871"/>
  <c r="C16" i="257"/>
  <c r="J29" i="871"/>
  <c r="F26" i="871"/>
  <c r="F16" i="257"/>
  <c r="K29" i="871"/>
  <c r="P25" i="871"/>
  <c r="AE66" i="871"/>
  <c r="U24" i="871"/>
  <c r="S30" i="871"/>
  <c r="AB16" i="258"/>
  <c r="L34" i="871"/>
  <c r="Y16" i="257"/>
  <c r="S24" i="871"/>
  <c r="AI16" i="257"/>
  <c r="K34" i="871"/>
  <c r="Y66" i="871"/>
  <c r="U22" i="871"/>
  <c r="J16" i="257"/>
  <c r="O16" i="257"/>
  <c r="T16" i="257"/>
  <c r="AI16" i="258"/>
  <c r="U16" i="257"/>
  <c r="S22" i="873"/>
  <c r="U22" i="873"/>
  <c r="AG14" i="257"/>
  <c r="I26" i="873"/>
  <c r="I34" i="873"/>
  <c r="P14" i="258"/>
  <c r="N30" i="873"/>
  <c r="N22" i="873"/>
  <c r="AC14" i="257"/>
  <c r="O22" i="873"/>
  <c r="E14" i="257"/>
  <c r="F22" i="873"/>
  <c r="V66" i="873"/>
  <c r="B14" i="257"/>
  <c r="B14" i="258"/>
  <c r="D22" i="873"/>
  <c r="Q66" i="873"/>
  <c r="D24" i="873"/>
  <c r="M34" i="873"/>
  <c r="Z14" i="257"/>
  <c r="H14" i="258"/>
  <c r="M14" i="258"/>
  <c r="R14" i="258"/>
  <c r="D26" i="873"/>
  <c r="C14" i="257"/>
  <c r="J14" i="257"/>
  <c r="O14" i="257"/>
  <c r="I14" i="258"/>
  <c r="K29" i="873"/>
  <c r="Q25" i="873"/>
  <c r="AE66" i="873"/>
  <c r="S30" i="873"/>
  <c r="AB14" i="258"/>
  <c r="L34" i="873"/>
  <c r="Y14" i="257"/>
  <c r="U14" i="257"/>
  <c r="AI14" i="258"/>
  <c r="S24" i="873"/>
  <c r="AI14" i="257"/>
  <c r="S22" i="874"/>
  <c r="N13" i="257"/>
  <c r="K24" i="874"/>
  <c r="L13" i="257"/>
  <c r="I13" i="257"/>
  <c r="F13" i="258"/>
  <c r="I34" i="874"/>
  <c r="P13" i="258"/>
  <c r="N28" i="874"/>
  <c r="U13" i="258"/>
  <c r="P22" i="874"/>
  <c r="N22" i="874"/>
  <c r="C13" i="258"/>
  <c r="E13" i="257"/>
  <c r="F24" i="874"/>
  <c r="B13" i="257"/>
  <c r="B13" i="258"/>
  <c r="K3" i="259"/>
  <c r="D24" i="874"/>
  <c r="M34" i="874"/>
  <c r="Z13" i="257"/>
  <c r="N34" i="874"/>
  <c r="AA13" i="257"/>
  <c r="H13" i="258"/>
  <c r="M13" i="258"/>
  <c r="I29" i="874"/>
  <c r="Q25" i="874"/>
  <c r="J13" i="257"/>
  <c r="D26" i="874"/>
  <c r="C13" i="257"/>
  <c r="K34" i="874"/>
  <c r="U13" i="257"/>
  <c r="AI13" i="258"/>
  <c r="S30" i="884"/>
  <c r="AB3" i="258"/>
  <c r="AE66" i="884"/>
  <c r="U24" i="884"/>
  <c r="AH3" i="257"/>
  <c r="S22" i="884"/>
  <c r="I29" i="884"/>
  <c r="O3" i="257"/>
  <c r="K3" i="258"/>
  <c r="I24" i="884"/>
  <c r="J3" i="257"/>
  <c r="I21" i="884"/>
  <c r="I3" i="257"/>
  <c r="N28" i="884"/>
  <c r="AC3" i="257"/>
  <c r="Q25" i="884"/>
  <c r="N30" i="884"/>
  <c r="V66" i="884"/>
  <c r="F24" i="884"/>
  <c r="B3" i="258"/>
  <c r="B3" i="257"/>
  <c r="Q66" i="884"/>
  <c r="M34" i="884"/>
  <c r="Z3" i="257"/>
  <c r="L34" i="884"/>
  <c r="Y3" i="257"/>
  <c r="R3" i="258"/>
  <c r="V3" i="257"/>
  <c r="K3" i="257"/>
  <c r="P3" i="257"/>
  <c r="P3" i="258"/>
  <c r="AI3" i="258"/>
  <c r="L3" i="257"/>
  <c r="L3" i="258"/>
  <c r="J34" i="884"/>
  <c r="S22" i="833"/>
  <c r="I26" i="833"/>
  <c r="I21" i="833"/>
  <c r="F55" i="258"/>
  <c r="L31" i="833"/>
  <c r="X55" i="257"/>
  <c r="N28" i="833"/>
  <c r="U55" i="258"/>
  <c r="O22" i="833"/>
  <c r="P22" i="833"/>
  <c r="AD55" i="257"/>
  <c r="D29" i="833"/>
  <c r="D55" i="258"/>
  <c r="E55" i="257"/>
  <c r="C55" i="258"/>
  <c r="V66" i="833"/>
  <c r="B55" i="258"/>
  <c r="B55" i="257"/>
  <c r="Q66" i="833"/>
  <c r="D24" i="833"/>
  <c r="M34" i="833"/>
  <c r="Z55" i="257"/>
  <c r="H55" i="258"/>
  <c r="D26" i="833"/>
  <c r="C55" i="257"/>
  <c r="I29" i="833"/>
  <c r="Q25" i="833"/>
  <c r="AE66" i="833"/>
  <c r="U24" i="833"/>
  <c r="S30" i="833"/>
  <c r="AB55" i="258"/>
  <c r="L34" i="833"/>
  <c r="Y55" i="257"/>
  <c r="F26" i="833"/>
  <c r="F55" i="257"/>
  <c r="K34" i="833"/>
  <c r="J55" i="257"/>
  <c r="T55" i="257"/>
  <c r="AI55" i="258"/>
  <c r="K24" i="833"/>
  <c r="U55" i="257"/>
  <c r="S22" i="838"/>
  <c r="I26" i="838"/>
  <c r="I21" i="838"/>
  <c r="I50" i="257"/>
  <c r="L31" i="838"/>
  <c r="X50" i="257"/>
  <c r="N28" i="838"/>
  <c r="U50" i="258"/>
  <c r="N30" i="838"/>
  <c r="O22" i="838"/>
  <c r="P22" i="838"/>
  <c r="Q22" i="838"/>
  <c r="D29" i="838"/>
  <c r="D50" i="258"/>
  <c r="C50" i="258"/>
  <c r="V66" i="838"/>
  <c r="F24" i="838"/>
  <c r="S66" i="838"/>
  <c r="F22" i="838"/>
  <c r="B50" i="257"/>
  <c r="Q66" i="838"/>
  <c r="D24" i="838"/>
  <c r="N66" i="838"/>
  <c r="M34" i="838"/>
  <c r="Z50" i="257"/>
  <c r="J24" i="838"/>
  <c r="D26" i="838"/>
  <c r="C50" i="257"/>
  <c r="J29" i="838"/>
  <c r="L50" i="257"/>
  <c r="F26" i="838"/>
  <c r="F50" i="257"/>
  <c r="K29" i="838"/>
  <c r="P25" i="838"/>
  <c r="AE66" i="838"/>
  <c r="U24" i="838"/>
  <c r="S30" i="838"/>
  <c r="AB50" i="258"/>
  <c r="L34" i="838"/>
  <c r="Y50" i="257"/>
  <c r="S24" i="838"/>
  <c r="AI50" i="257"/>
  <c r="K34" i="838"/>
  <c r="Y66" i="838"/>
  <c r="U22" i="838"/>
  <c r="J50" i="257"/>
  <c r="O50" i="257"/>
  <c r="T50" i="257"/>
  <c r="AI50" i="258"/>
  <c r="U50" i="257"/>
  <c r="S22" i="844"/>
  <c r="I26" i="844"/>
  <c r="J24" i="844"/>
  <c r="H43" i="258"/>
  <c r="F43" i="258"/>
  <c r="I43" i="257"/>
  <c r="I31" i="844"/>
  <c r="S43" i="257"/>
  <c r="N28" i="844"/>
  <c r="U43" i="258"/>
  <c r="P22" i="844"/>
  <c r="N30" i="844"/>
  <c r="D29" i="844"/>
  <c r="D43" i="258"/>
  <c r="E43" i="257"/>
  <c r="F22" i="844"/>
  <c r="V66" i="844"/>
  <c r="F24" i="844"/>
  <c r="D22" i="844"/>
  <c r="B43" i="257"/>
  <c r="Q66" i="844"/>
  <c r="D24" i="844"/>
  <c r="M34" i="844"/>
  <c r="Z43" i="257"/>
  <c r="D26" i="844"/>
  <c r="C43" i="257"/>
  <c r="J43" i="257"/>
  <c r="T43" i="257"/>
  <c r="Q43" i="258"/>
  <c r="F26" i="844"/>
  <c r="F43" i="257"/>
  <c r="I29" i="844"/>
  <c r="Q25" i="844"/>
  <c r="AE66" i="844"/>
  <c r="U24" i="844"/>
  <c r="S30" i="844"/>
  <c r="AB43" i="258"/>
  <c r="L34" i="844"/>
  <c r="Y43" i="257"/>
  <c r="P43" i="257"/>
  <c r="K34" i="844"/>
  <c r="L43" i="257"/>
  <c r="AI43" i="258"/>
  <c r="S22" i="855"/>
  <c r="I26" i="855"/>
  <c r="I21" i="855"/>
  <c r="F32" i="258"/>
  <c r="H6" i="259"/>
  <c r="N28" i="855"/>
  <c r="AC32" i="257"/>
  <c r="D29" i="855"/>
  <c r="D32" i="258"/>
  <c r="H5" i="259"/>
  <c r="E32" i="257"/>
  <c r="V66" i="855"/>
  <c r="F24" i="855"/>
  <c r="B32" i="257"/>
  <c r="Q66" i="855"/>
  <c r="D24" i="855"/>
  <c r="M34" i="855"/>
  <c r="Z32" i="257"/>
  <c r="D26" i="855"/>
  <c r="C32" i="257"/>
  <c r="K32" i="257"/>
  <c r="U32" i="257"/>
  <c r="F26" i="855"/>
  <c r="F32" i="257"/>
  <c r="I29" i="855"/>
  <c r="Q25" i="855"/>
  <c r="AE66" i="855"/>
  <c r="U24" i="855"/>
  <c r="S30" i="855"/>
  <c r="AB32" i="258"/>
  <c r="H24" i="259"/>
  <c r="L34" i="855"/>
  <c r="Y32" i="257"/>
  <c r="L32" i="257"/>
  <c r="K34" i="855"/>
  <c r="P32" i="258"/>
  <c r="H14" i="259"/>
  <c r="AI32" i="258"/>
  <c r="H30" i="259"/>
  <c r="AA20" i="258"/>
  <c r="AF20" i="257"/>
  <c r="K24" i="867"/>
  <c r="I20" i="258"/>
  <c r="I21" i="867"/>
  <c r="F20" i="258"/>
  <c r="N28" i="867"/>
  <c r="AC20" i="257"/>
  <c r="P22" i="867"/>
  <c r="N30" i="867"/>
  <c r="D29" i="867"/>
  <c r="D20" i="258"/>
  <c r="C20" i="258"/>
  <c r="V66" i="867"/>
  <c r="F24" i="867"/>
  <c r="B20" i="257"/>
  <c r="Q66" i="867"/>
  <c r="D24" i="867"/>
  <c r="M34" i="867"/>
  <c r="Z20" i="257"/>
  <c r="D26" i="867"/>
  <c r="C20" i="257"/>
  <c r="P20" i="258"/>
  <c r="AI20" i="258"/>
  <c r="F26" i="867"/>
  <c r="F20" i="257"/>
  <c r="I29" i="867"/>
  <c r="Q25" i="867"/>
  <c r="AE66" i="867"/>
  <c r="S30" i="867"/>
  <c r="AB20" i="258"/>
  <c r="L34" i="867"/>
  <c r="Y20" i="257"/>
  <c r="J20" i="257"/>
  <c r="Q20" i="258"/>
  <c r="K34" i="867"/>
  <c r="P20" i="257"/>
  <c r="S30" i="870"/>
  <c r="AB17" i="258"/>
  <c r="AE66" i="870"/>
  <c r="S22" i="870"/>
  <c r="I29" i="870"/>
  <c r="L17" i="258"/>
  <c r="I26" i="870"/>
  <c r="L31" i="870"/>
  <c r="X17" i="257"/>
  <c r="N28" i="870"/>
  <c r="U17" i="258"/>
  <c r="Q25" i="870"/>
  <c r="AD17" i="257"/>
  <c r="P22" i="870"/>
  <c r="C17" i="258"/>
  <c r="E17" i="257"/>
  <c r="V66" i="870"/>
  <c r="F24" i="870"/>
  <c r="B17" i="257"/>
  <c r="B17" i="258"/>
  <c r="Q66" i="870"/>
  <c r="D24" i="870"/>
  <c r="M34" i="870"/>
  <c r="Z17" i="257"/>
  <c r="L34" i="870"/>
  <c r="Y17" i="257"/>
  <c r="Q17" i="258"/>
  <c r="U17" i="257"/>
  <c r="D26" i="870"/>
  <c r="C17" i="257"/>
  <c r="J17" i="257"/>
  <c r="I17" i="258"/>
  <c r="F26" i="870"/>
  <c r="F17" i="257"/>
  <c r="K17" i="257"/>
  <c r="AI17" i="258"/>
  <c r="I34" i="870"/>
  <c r="K34" i="870"/>
  <c r="S22" i="829"/>
  <c r="I26" i="829"/>
  <c r="J24" i="829"/>
  <c r="H59" i="258"/>
  <c r="I59" i="257"/>
  <c r="F59" i="258"/>
  <c r="I31" i="829"/>
  <c r="S59" i="257"/>
  <c r="M34" i="829"/>
  <c r="Z59" i="257"/>
  <c r="L31" i="829"/>
  <c r="X59" i="257"/>
  <c r="N28" i="829"/>
  <c r="AC59" i="257"/>
  <c r="Q22" i="829"/>
  <c r="N30" i="829"/>
  <c r="P22" i="829"/>
  <c r="D29" i="829"/>
  <c r="D59" i="258"/>
  <c r="E59" i="257"/>
  <c r="V66" i="829"/>
  <c r="F24" i="829"/>
  <c r="B59" i="258"/>
  <c r="B59" i="257"/>
  <c r="Q66" i="829"/>
  <c r="D24" i="829"/>
  <c r="Q59" i="258"/>
  <c r="U59" i="257"/>
  <c r="F26" i="829"/>
  <c r="F59" i="257"/>
  <c r="K29" i="829"/>
  <c r="P25" i="829"/>
  <c r="AE66" i="829"/>
  <c r="U24" i="829"/>
  <c r="S30" i="829"/>
  <c r="AB59" i="258"/>
  <c r="L34" i="829"/>
  <c r="Y59" i="257"/>
  <c r="K59" i="257"/>
  <c r="P59" i="257"/>
  <c r="AI59" i="258"/>
  <c r="S24" i="829"/>
  <c r="AI59" i="257"/>
  <c r="I34" i="829"/>
  <c r="L59" i="257"/>
  <c r="V59" i="257"/>
  <c r="G59" i="258"/>
  <c r="L59" i="258"/>
  <c r="S22" i="841"/>
  <c r="J29" i="841"/>
  <c r="P46" i="257"/>
  <c r="I26" i="841"/>
  <c r="I21" i="841"/>
  <c r="I46" i="257"/>
  <c r="K24" i="841"/>
  <c r="I46" i="258"/>
  <c r="I31" i="841"/>
  <c r="S46" i="257"/>
  <c r="I34" i="841"/>
  <c r="P46" i="258"/>
  <c r="N28" i="841"/>
  <c r="U46" i="258"/>
  <c r="P22" i="841"/>
  <c r="Q22" i="841"/>
  <c r="N30" i="841"/>
  <c r="O22" i="841"/>
  <c r="D29" i="841"/>
  <c r="D46" i="258"/>
  <c r="C46" i="258"/>
  <c r="V66" i="841"/>
  <c r="F24" i="841"/>
  <c r="B46" i="257"/>
  <c r="Q66" i="841"/>
  <c r="D24" i="841"/>
  <c r="S24" i="841"/>
  <c r="AI46" i="257"/>
  <c r="K29" i="841"/>
  <c r="Q25" i="841"/>
  <c r="AE66" i="841"/>
  <c r="U24" i="841"/>
  <c r="S30" i="841"/>
  <c r="AB46" i="258"/>
  <c r="L34" i="841"/>
  <c r="Y46" i="257"/>
  <c r="V46" i="257"/>
  <c r="H46" i="258"/>
  <c r="D26" i="841"/>
  <c r="C46" i="257"/>
  <c r="J46" i="257"/>
  <c r="AI46" i="258"/>
  <c r="F26" i="841"/>
  <c r="F46" i="257"/>
  <c r="U46" i="257"/>
  <c r="S22" i="847"/>
  <c r="I26" i="847"/>
  <c r="I21" i="847"/>
  <c r="F40" i="258"/>
  <c r="I24" i="847"/>
  <c r="G40" i="258"/>
  <c r="I31" i="847"/>
  <c r="S40" i="257"/>
  <c r="K34" i="847"/>
  <c r="R40" i="258"/>
  <c r="N28" i="847"/>
  <c r="AC40" i="257"/>
  <c r="P22" i="847"/>
  <c r="N30" i="847"/>
  <c r="N22" i="847"/>
  <c r="E40" i="257"/>
  <c r="D29" i="847"/>
  <c r="D40" i="258"/>
  <c r="C40" i="258"/>
  <c r="B40" i="258"/>
  <c r="B40" i="257"/>
  <c r="Q66" i="847"/>
  <c r="D24" i="847"/>
  <c r="M34" i="847"/>
  <c r="Z40" i="257"/>
  <c r="L40" i="257"/>
  <c r="S24" i="847"/>
  <c r="AI40" i="257"/>
  <c r="P40" i="258"/>
  <c r="AI40" i="258"/>
  <c r="Q40" i="258"/>
  <c r="D26" i="847"/>
  <c r="C40" i="257"/>
  <c r="K29" i="847"/>
  <c r="Q25" i="847"/>
  <c r="AE66" i="847"/>
  <c r="U24" i="847"/>
  <c r="S30" i="847"/>
  <c r="AB40" i="258"/>
  <c r="L34" i="847"/>
  <c r="Y40" i="257"/>
  <c r="P40" i="257"/>
  <c r="S22" i="851"/>
  <c r="I26" i="851"/>
  <c r="K24" i="851"/>
  <c r="I36" i="258"/>
  <c r="I21" i="851"/>
  <c r="F36" i="258"/>
  <c r="J24" i="851"/>
  <c r="H36" i="258"/>
  <c r="N28" i="851"/>
  <c r="U36" i="258"/>
  <c r="N30" i="851"/>
  <c r="C36" i="258"/>
  <c r="V66" i="851"/>
  <c r="F24" i="851"/>
  <c r="S66" i="851"/>
  <c r="F22" i="851"/>
  <c r="B36" i="257"/>
  <c r="Q66" i="851"/>
  <c r="D24" i="851"/>
  <c r="N66" i="851"/>
  <c r="D22" i="851"/>
  <c r="M34" i="851"/>
  <c r="Z36" i="257"/>
  <c r="D26" i="851"/>
  <c r="C36" i="257"/>
  <c r="J36" i="257"/>
  <c r="T36" i="257"/>
  <c r="AI36" i="258"/>
  <c r="F26" i="851"/>
  <c r="F36" i="257"/>
  <c r="I29" i="851"/>
  <c r="Q25" i="851"/>
  <c r="AE66" i="851"/>
  <c r="U24" i="851"/>
  <c r="S30" i="851"/>
  <c r="AB36" i="258"/>
  <c r="L34" i="851"/>
  <c r="Y36" i="257"/>
  <c r="U36" i="257"/>
  <c r="K34" i="851"/>
  <c r="Y66" i="851"/>
  <c r="U22" i="851"/>
  <c r="S22" i="862"/>
  <c r="I26" i="862"/>
  <c r="K24" i="862"/>
  <c r="I25" i="258"/>
  <c r="I21" i="862"/>
  <c r="F25" i="258"/>
  <c r="I34" i="862"/>
  <c r="T25" i="257"/>
  <c r="N28" i="862"/>
  <c r="AC25" i="257"/>
  <c r="N30" i="862"/>
  <c r="N22" i="862"/>
  <c r="O22" i="862"/>
  <c r="E25" i="257"/>
  <c r="C25" i="258"/>
  <c r="F22" i="862"/>
  <c r="V66" i="862"/>
  <c r="B25" i="257"/>
  <c r="D22" i="862"/>
  <c r="Q66" i="862"/>
  <c r="D24" i="862"/>
  <c r="M34" i="862"/>
  <c r="Z25" i="257"/>
  <c r="V25" i="257"/>
  <c r="AI25" i="258"/>
  <c r="D26" i="862"/>
  <c r="C25" i="257"/>
  <c r="I29" i="862"/>
  <c r="Q25" i="862"/>
  <c r="AE66" i="862"/>
  <c r="S30" i="862"/>
  <c r="AB25" i="258"/>
  <c r="L34" i="862"/>
  <c r="Y25" i="257"/>
  <c r="Q25" i="258"/>
  <c r="H25" i="258"/>
  <c r="M25" i="258"/>
  <c r="AA5" i="258"/>
  <c r="AF5" i="257"/>
  <c r="I26" i="882"/>
  <c r="J24" i="882"/>
  <c r="H5" i="258"/>
  <c r="P22" i="882"/>
  <c r="U5" i="258"/>
  <c r="V5" i="258"/>
  <c r="E5" i="257"/>
  <c r="C5" i="258"/>
  <c r="S66" i="882"/>
  <c r="F22" i="882"/>
  <c r="D29" i="882"/>
  <c r="D5" i="258"/>
  <c r="V66" i="882"/>
  <c r="F24" i="882"/>
  <c r="B5" i="257"/>
  <c r="Q66" i="882"/>
  <c r="D24" i="882"/>
  <c r="L31" i="882"/>
  <c r="X5" i="257"/>
  <c r="M34" i="882"/>
  <c r="Z5" i="257"/>
  <c r="L5" i="257"/>
  <c r="D26" i="882"/>
  <c r="C5" i="257"/>
  <c r="AI5" i="258"/>
  <c r="F26" i="882"/>
  <c r="F5" i="257"/>
  <c r="I29" i="882"/>
  <c r="Q25" i="882"/>
  <c r="AE66" i="882"/>
  <c r="U24" i="882"/>
  <c r="S30" i="882"/>
  <c r="AB5" i="258"/>
  <c r="L34" i="882"/>
  <c r="Y5" i="257"/>
  <c r="Q5" i="258"/>
  <c r="K34" i="882"/>
  <c r="Y66" i="882"/>
  <c r="U22" i="882"/>
  <c r="P5" i="257"/>
  <c r="S22" i="843"/>
  <c r="I26" i="843"/>
  <c r="K24" i="843"/>
  <c r="L44" i="257"/>
  <c r="I44" i="257"/>
  <c r="K34" i="843"/>
  <c r="R44" i="258"/>
  <c r="L31" i="843"/>
  <c r="X44" i="257"/>
  <c r="N28" i="843"/>
  <c r="U44" i="258"/>
  <c r="O22" i="843"/>
  <c r="AD44" i="257"/>
  <c r="Q22" i="843"/>
  <c r="D29" i="843"/>
  <c r="D44" i="258"/>
  <c r="C44" i="258"/>
  <c r="E44" i="257"/>
  <c r="V66" i="843"/>
  <c r="B44" i="257"/>
  <c r="B44" i="258"/>
  <c r="Q66" i="843"/>
  <c r="D24" i="843"/>
  <c r="M34" i="843"/>
  <c r="Z44" i="257"/>
  <c r="S24" i="843"/>
  <c r="AI44" i="257"/>
  <c r="O44" i="257"/>
  <c r="T44" i="257"/>
  <c r="K44" i="257"/>
  <c r="P44" i="257"/>
  <c r="U44" i="257"/>
  <c r="AI44" i="258"/>
  <c r="D26" i="843"/>
  <c r="C44" i="257"/>
  <c r="F26" i="843"/>
  <c r="F44" i="257"/>
  <c r="K29" i="843"/>
  <c r="Q25" i="843"/>
  <c r="AE66" i="843"/>
  <c r="S30" i="843"/>
  <c r="AB44" i="258"/>
  <c r="L34" i="843"/>
  <c r="Y44" i="257"/>
  <c r="S22" i="856"/>
  <c r="I26" i="856"/>
  <c r="J24" i="856"/>
  <c r="H31" i="258"/>
  <c r="F31" i="258"/>
  <c r="I31" i="257"/>
  <c r="I31" i="856"/>
  <c r="S31" i="257"/>
  <c r="L31" i="856"/>
  <c r="X31" i="257"/>
  <c r="N28" i="856"/>
  <c r="AC31" i="257"/>
  <c r="N30" i="856"/>
  <c r="O22" i="856"/>
  <c r="P22" i="856"/>
  <c r="U31" i="258"/>
  <c r="D29" i="856"/>
  <c r="D31" i="258"/>
  <c r="E31" i="257"/>
  <c r="V66" i="856"/>
  <c r="F24" i="856"/>
  <c r="B31" i="257"/>
  <c r="Q66" i="856"/>
  <c r="M34" i="856"/>
  <c r="Z31" i="257"/>
  <c r="K31" i="257"/>
  <c r="P31" i="257"/>
  <c r="U31" i="257"/>
  <c r="D26" i="856"/>
  <c r="C31" i="257"/>
  <c r="I29" i="856"/>
  <c r="Q25" i="856"/>
  <c r="AE66" i="856"/>
  <c r="U24" i="856"/>
  <c r="S30" i="856"/>
  <c r="AB31" i="258"/>
  <c r="L34" i="856"/>
  <c r="Y31" i="257"/>
  <c r="L31" i="257"/>
  <c r="F26" i="856"/>
  <c r="F31" i="257"/>
  <c r="K34" i="856"/>
  <c r="P31" i="258"/>
  <c r="AI31" i="258"/>
  <c r="J31" i="257"/>
  <c r="AA30" i="258"/>
  <c r="Y66" i="857"/>
  <c r="U22" i="857"/>
  <c r="I26" i="857"/>
  <c r="I21" i="857"/>
  <c r="I30" i="257"/>
  <c r="J24" i="857"/>
  <c r="Q30" i="258"/>
  <c r="U30" i="257"/>
  <c r="K34" i="857"/>
  <c r="N28" i="857"/>
  <c r="U30" i="258"/>
  <c r="C30" i="258"/>
  <c r="E30" i="257"/>
  <c r="F24" i="857"/>
  <c r="S66" i="857"/>
  <c r="B30" i="257"/>
  <c r="D32" i="857"/>
  <c r="D30" i="257"/>
  <c r="Q66" i="857"/>
  <c r="D24" i="857"/>
  <c r="N66" i="857"/>
  <c r="D22" i="857"/>
  <c r="O22" i="857"/>
  <c r="L30" i="257"/>
  <c r="D26" i="857"/>
  <c r="C30" i="257"/>
  <c r="M34" i="857"/>
  <c r="Z30" i="257"/>
  <c r="I29" i="857"/>
  <c r="Q25" i="857"/>
  <c r="AE66" i="857"/>
  <c r="U24" i="857"/>
  <c r="S30" i="857"/>
  <c r="AB30" i="258"/>
  <c r="L34" i="857"/>
  <c r="Y30" i="257"/>
  <c r="P30" i="258"/>
  <c r="AI30" i="258"/>
  <c r="F26" i="857"/>
  <c r="F30" i="257"/>
  <c r="J30" i="257"/>
  <c r="S22" i="863"/>
  <c r="I26" i="863"/>
  <c r="K24" i="863"/>
  <c r="I24" i="258"/>
  <c r="J34" i="863"/>
  <c r="Q24" i="258"/>
  <c r="L31" i="863"/>
  <c r="X24" i="257"/>
  <c r="N28" i="863"/>
  <c r="U24" i="258"/>
  <c r="N25" i="863"/>
  <c r="P22" i="863"/>
  <c r="N30" i="863"/>
  <c r="O22" i="863"/>
  <c r="C24" i="258"/>
  <c r="V66" i="863"/>
  <c r="S66" i="863"/>
  <c r="F22" i="863"/>
  <c r="B24" i="257"/>
  <c r="Q66" i="863"/>
  <c r="D24" i="863"/>
  <c r="N66" i="863"/>
  <c r="D22" i="863"/>
  <c r="F26" i="863"/>
  <c r="F24" i="257"/>
  <c r="K29" i="863"/>
  <c r="P25" i="863"/>
  <c r="AE66" i="863"/>
  <c r="U24" i="863"/>
  <c r="S30" i="863"/>
  <c r="AB24" i="258"/>
  <c r="L34" i="863"/>
  <c r="Y24" i="257"/>
  <c r="S24" i="863"/>
  <c r="AI24" i="257"/>
  <c r="K34" i="863"/>
  <c r="Y66" i="863"/>
  <c r="U22" i="863"/>
  <c r="O24" i="257"/>
  <c r="T24" i="257"/>
  <c r="AI24" i="258"/>
  <c r="J24" i="863"/>
  <c r="D26" i="863"/>
  <c r="C24" i="257"/>
  <c r="J29" i="863"/>
  <c r="S30" i="864"/>
  <c r="AB23" i="258"/>
  <c r="AE66" i="864"/>
  <c r="U24" i="864"/>
  <c r="S22" i="864"/>
  <c r="M23" i="258"/>
  <c r="I29" i="864"/>
  <c r="L23" i="258"/>
  <c r="I26" i="864"/>
  <c r="I21" i="864"/>
  <c r="F23" i="258"/>
  <c r="I34" i="864"/>
  <c r="P23" i="258"/>
  <c r="N28" i="864"/>
  <c r="U23" i="258"/>
  <c r="Q25" i="864"/>
  <c r="N30" i="864"/>
  <c r="P22" i="864"/>
  <c r="D29" i="864"/>
  <c r="D23" i="258"/>
  <c r="E23" i="257"/>
  <c r="C23" i="258"/>
  <c r="V66" i="864"/>
  <c r="F24" i="864"/>
  <c r="B23" i="258"/>
  <c r="B23" i="257"/>
  <c r="Q66" i="864"/>
  <c r="D24" i="864"/>
  <c r="M34" i="864"/>
  <c r="Z23" i="257"/>
  <c r="L34" i="864"/>
  <c r="Y23" i="257"/>
  <c r="R23" i="258"/>
  <c r="V23" i="257"/>
  <c r="K23" i="257"/>
  <c r="H23" i="258"/>
  <c r="Q22" i="864"/>
  <c r="L31" i="864"/>
  <c r="X23" i="257"/>
  <c r="N22" i="864"/>
  <c r="I24" i="864"/>
  <c r="D26" i="864"/>
  <c r="C23" i="257"/>
  <c r="AI23" i="258"/>
  <c r="U23" i="257"/>
  <c r="S22" i="878"/>
  <c r="I26" i="878"/>
  <c r="J24" i="878"/>
  <c r="K9" i="257"/>
  <c r="I9" i="257"/>
  <c r="F9" i="258"/>
  <c r="M34" i="878"/>
  <c r="Z9" i="257"/>
  <c r="I34" i="878"/>
  <c r="P9" i="258"/>
  <c r="N25" i="878"/>
  <c r="Q22" i="878"/>
  <c r="AD9" i="257"/>
  <c r="C9" i="258"/>
  <c r="D29" i="878"/>
  <c r="D9" i="258"/>
  <c r="E9" i="257"/>
  <c r="B9" i="257"/>
  <c r="B9" i="258"/>
  <c r="S24" i="878"/>
  <c r="AI9" i="257"/>
  <c r="R9" i="258"/>
  <c r="O9" i="257"/>
  <c r="D26" i="878"/>
  <c r="C9" i="257"/>
  <c r="J29" i="878"/>
  <c r="U9" i="257"/>
  <c r="AI9" i="258"/>
  <c r="F26" i="878"/>
  <c r="F9" i="257"/>
  <c r="K29" i="878"/>
  <c r="P25" i="878"/>
  <c r="AE66" i="878"/>
  <c r="U24" i="878"/>
  <c r="S30" i="878"/>
  <c r="AB9" i="258"/>
  <c r="L34" i="878"/>
  <c r="Y9" i="257"/>
  <c r="U24" i="828"/>
  <c r="AH60" i="257"/>
  <c r="S22" i="828"/>
  <c r="I26" i="828"/>
  <c r="K24" i="828"/>
  <c r="I60" i="258"/>
  <c r="E9" i="259"/>
  <c r="I21" i="828"/>
  <c r="F60" i="258"/>
  <c r="E6" i="259"/>
  <c r="K37" i="828"/>
  <c r="I31" i="828"/>
  <c r="S60" i="257"/>
  <c r="I34" i="828"/>
  <c r="T60" i="257"/>
  <c r="J34" i="828"/>
  <c r="U60" i="257"/>
  <c r="N28" i="828"/>
  <c r="AC60" i="257"/>
  <c r="P22" i="828"/>
  <c r="N30" i="828"/>
  <c r="N22" i="828"/>
  <c r="E60" i="257"/>
  <c r="C60" i="258"/>
  <c r="B60" i="258"/>
  <c r="D24" i="828"/>
  <c r="B60" i="257"/>
  <c r="N34" i="828"/>
  <c r="AA60" i="257"/>
  <c r="M34" i="828"/>
  <c r="Z60" i="257"/>
  <c r="F26" i="828"/>
  <c r="F60" i="257"/>
  <c r="S24" i="828"/>
  <c r="AI60" i="257"/>
  <c r="V60" i="257"/>
  <c r="AI60" i="258"/>
  <c r="E30" i="259"/>
  <c r="G60" i="258"/>
  <c r="E7" i="259"/>
  <c r="L60" i="258"/>
  <c r="E11" i="259"/>
  <c r="D26" i="828"/>
  <c r="C60" i="257"/>
  <c r="H60" i="258"/>
  <c r="E8" i="259"/>
  <c r="M60" i="258"/>
  <c r="E12" i="259"/>
  <c r="K29" i="828"/>
  <c r="Q25" i="828"/>
  <c r="AA56" i="258"/>
  <c r="Z56" i="258"/>
  <c r="U22" i="832"/>
  <c r="AC56" i="258"/>
  <c r="I26" i="832"/>
  <c r="K24" i="832"/>
  <c r="I56" i="258"/>
  <c r="I56" i="257"/>
  <c r="F56" i="258"/>
  <c r="N28" i="832"/>
  <c r="AC56" i="257"/>
  <c r="P22" i="832"/>
  <c r="D29" i="832"/>
  <c r="D56" i="258"/>
  <c r="C56" i="258"/>
  <c r="E56" i="257"/>
  <c r="V66" i="832"/>
  <c r="F24" i="832"/>
  <c r="B56" i="258"/>
  <c r="D22" i="832"/>
  <c r="B56" i="257"/>
  <c r="Q66" i="832"/>
  <c r="D24" i="832"/>
  <c r="M34" i="832"/>
  <c r="Z56" i="257"/>
  <c r="F26" i="832"/>
  <c r="F56" i="257"/>
  <c r="I29" i="832"/>
  <c r="Q25" i="832"/>
  <c r="AE66" i="832"/>
  <c r="U24" i="832"/>
  <c r="S30" i="832"/>
  <c r="AB56" i="258"/>
  <c r="L34" i="832"/>
  <c r="Y56" i="257"/>
  <c r="K56" i="257"/>
  <c r="P56" i="257"/>
  <c r="U56" i="257"/>
  <c r="AI56" i="258"/>
  <c r="V56" i="257"/>
  <c r="G56" i="258"/>
  <c r="D26" i="832"/>
  <c r="C56" i="257"/>
  <c r="AA49" i="258"/>
  <c r="AF49" i="257"/>
  <c r="I26" i="839"/>
  <c r="J24" i="839"/>
  <c r="H49" i="258"/>
  <c r="J34" i="839"/>
  <c r="U49" i="257"/>
  <c r="L31" i="839"/>
  <c r="X49" i="257"/>
  <c r="N30" i="839"/>
  <c r="AD49" i="257"/>
  <c r="N25" i="839"/>
  <c r="O22" i="839"/>
  <c r="P22" i="839"/>
  <c r="V49" i="258"/>
  <c r="D29" i="839"/>
  <c r="D49" i="258"/>
  <c r="C49" i="258"/>
  <c r="V66" i="839"/>
  <c r="F24" i="839"/>
  <c r="B49" i="258"/>
  <c r="B49" i="257"/>
  <c r="Q66" i="839"/>
  <c r="D24" i="839"/>
  <c r="M34" i="839"/>
  <c r="Z49" i="257"/>
  <c r="S24" i="839"/>
  <c r="AI49" i="257"/>
  <c r="P25" i="839"/>
  <c r="AE66" i="839"/>
  <c r="S30" i="839"/>
  <c r="AB49" i="258"/>
  <c r="L34" i="839"/>
  <c r="Y49" i="257"/>
  <c r="P49" i="258"/>
  <c r="AI49" i="258"/>
  <c r="J49" i="257"/>
  <c r="O49" i="257"/>
  <c r="D26" i="839"/>
  <c r="C49" i="257"/>
  <c r="P49" i="257"/>
  <c r="R49" i="258"/>
  <c r="F26" i="839"/>
  <c r="F49" i="257"/>
  <c r="S22" i="849"/>
  <c r="I26" i="849"/>
  <c r="I21" i="849"/>
  <c r="F38" i="258"/>
  <c r="K24" i="849"/>
  <c r="I38" i="258"/>
  <c r="I31" i="849"/>
  <c r="S38" i="257"/>
  <c r="N28" i="849"/>
  <c r="U38" i="258"/>
  <c r="N30" i="849"/>
  <c r="P22" i="849"/>
  <c r="D29" i="849"/>
  <c r="D38" i="258"/>
  <c r="C38" i="258"/>
  <c r="V66" i="849"/>
  <c r="F24" i="849"/>
  <c r="B38" i="257"/>
  <c r="Q66" i="849"/>
  <c r="D24" i="849"/>
  <c r="M34" i="849"/>
  <c r="Z38" i="257"/>
  <c r="F26" i="849"/>
  <c r="F38" i="257"/>
  <c r="I29" i="849"/>
  <c r="Q25" i="849"/>
  <c r="AE66" i="849"/>
  <c r="U24" i="849"/>
  <c r="S30" i="849"/>
  <c r="AB38" i="258"/>
  <c r="L34" i="849"/>
  <c r="Y38" i="257"/>
  <c r="J38" i="257"/>
  <c r="T38" i="257"/>
  <c r="AI38" i="258"/>
  <c r="K34" i="849"/>
  <c r="K38" i="257"/>
  <c r="P38" i="257"/>
  <c r="U38" i="257"/>
  <c r="D26" i="849"/>
  <c r="C38" i="257"/>
  <c r="S22" i="852"/>
  <c r="I26" i="852"/>
  <c r="J24" i="852"/>
  <c r="K35" i="257"/>
  <c r="I31" i="852"/>
  <c r="S35" i="257"/>
  <c r="L31" i="852"/>
  <c r="X35" i="257"/>
  <c r="N28" i="852"/>
  <c r="AC35" i="257"/>
  <c r="N30" i="852"/>
  <c r="P22" i="852"/>
  <c r="D29" i="852"/>
  <c r="D35" i="258"/>
  <c r="C35" i="258"/>
  <c r="V66" i="852"/>
  <c r="B35" i="257"/>
  <c r="Q66" i="852"/>
  <c r="D24" i="852"/>
  <c r="M34" i="852"/>
  <c r="Z35" i="257"/>
  <c r="K34" i="852"/>
  <c r="L35" i="257"/>
  <c r="P35" i="258"/>
  <c r="AI35" i="258"/>
  <c r="G35" i="258"/>
  <c r="Q35" i="258"/>
  <c r="D26" i="852"/>
  <c r="C35" i="257"/>
  <c r="M35" i="258"/>
  <c r="F26" i="852"/>
  <c r="F35" i="257"/>
  <c r="I29" i="852"/>
  <c r="Q25" i="852"/>
  <c r="AE66" i="852"/>
  <c r="U24" i="852"/>
  <c r="S30" i="852"/>
  <c r="AB35" i="258"/>
  <c r="L34" i="852"/>
  <c r="Y35" i="257"/>
  <c r="S30" i="853"/>
  <c r="AB34" i="258"/>
  <c r="S22" i="853"/>
  <c r="J29" i="853"/>
  <c r="P34" i="257"/>
  <c r="I26" i="853"/>
  <c r="I21" i="853"/>
  <c r="F34" i="258"/>
  <c r="J24" i="853"/>
  <c r="K34" i="257"/>
  <c r="J34" i="853"/>
  <c r="U34" i="257"/>
  <c r="U34" i="258"/>
  <c r="N30" i="853"/>
  <c r="P22" i="853"/>
  <c r="D29" i="853"/>
  <c r="D34" i="258"/>
  <c r="C34" i="258"/>
  <c r="V66" i="853"/>
  <c r="F24" i="853"/>
  <c r="B34" i="257"/>
  <c r="Q66" i="853"/>
  <c r="D24" i="853"/>
  <c r="M34" i="853"/>
  <c r="Z34" i="257"/>
  <c r="T34" i="257"/>
  <c r="P34" i="258"/>
  <c r="S24" i="853"/>
  <c r="AI34" i="257"/>
  <c r="L34" i="257"/>
  <c r="AI34" i="258"/>
  <c r="G34" i="258"/>
  <c r="L34" i="258"/>
  <c r="K29" i="853"/>
  <c r="P25" i="853"/>
  <c r="AE66" i="853"/>
  <c r="U24" i="853"/>
  <c r="L34" i="853"/>
  <c r="Y34" i="257"/>
  <c r="F26" i="853"/>
  <c r="F34" i="257"/>
  <c r="K34" i="853"/>
  <c r="D32" i="887"/>
  <c r="D48" i="257"/>
  <c r="F32" i="887"/>
  <c r="G48" i="257"/>
  <c r="O25" i="887"/>
  <c r="Q22" i="887"/>
  <c r="I37" i="887"/>
  <c r="D32" i="885"/>
  <c r="D2" i="257"/>
  <c r="D22" i="885"/>
  <c r="F22" i="885"/>
  <c r="U24" i="885"/>
  <c r="O25" i="885"/>
  <c r="N34" i="885"/>
  <c r="AA2" i="257"/>
  <c r="Q22" i="885"/>
  <c r="I37" i="885"/>
  <c r="D32" i="884"/>
  <c r="D3" i="257"/>
  <c r="D22" i="884"/>
  <c r="F22" i="884"/>
  <c r="U22" i="884"/>
  <c r="F32" i="884"/>
  <c r="G3" i="257"/>
  <c r="O25" i="884"/>
  <c r="K29" i="884"/>
  <c r="N34" i="884"/>
  <c r="AA3" i="257"/>
  <c r="S24" i="884"/>
  <c r="AI3" i="257"/>
  <c r="P25" i="884"/>
  <c r="I37" i="884"/>
  <c r="D32" i="883"/>
  <c r="D4" i="257"/>
  <c r="F32" i="883"/>
  <c r="G4" i="257"/>
  <c r="O25" i="883"/>
  <c r="K29" i="883"/>
  <c r="N34" i="883"/>
  <c r="AA4" i="257"/>
  <c r="Q22" i="883"/>
  <c r="S24" i="883"/>
  <c r="AI4" i="257"/>
  <c r="P25" i="883"/>
  <c r="I37" i="883"/>
  <c r="D32" i="882"/>
  <c r="D5" i="257"/>
  <c r="O25" i="882"/>
  <c r="K29" i="882"/>
  <c r="N34" i="882"/>
  <c r="AA5" i="257"/>
  <c r="Q22" i="882"/>
  <c r="S24" i="882"/>
  <c r="AI5" i="257"/>
  <c r="P25" i="882"/>
  <c r="I37" i="882"/>
  <c r="D32" i="881"/>
  <c r="D6" i="257"/>
  <c r="F32" i="881"/>
  <c r="G6" i="257"/>
  <c r="O25" i="881"/>
  <c r="N34" i="881"/>
  <c r="AA6" i="257"/>
  <c r="N25" i="881"/>
  <c r="I37" i="881"/>
  <c r="D32" i="880"/>
  <c r="D7" i="257"/>
  <c r="F22" i="880"/>
  <c r="F32" i="880"/>
  <c r="G7" i="257"/>
  <c r="O25" i="880"/>
  <c r="K29" i="880"/>
  <c r="N34" i="880"/>
  <c r="AA7" i="257"/>
  <c r="Q22" i="880"/>
  <c r="S24" i="880"/>
  <c r="AI7" i="257"/>
  <c r="P25" i="880"/>
  <c r="I37" i="880"/>
  <c r="D32" i="879"/>
  <c r="D8" i="257"/>
  <c r="F32" i="879"/>
  <c r="G8" i="257"/>
  <c r="O25" i="879"/>
  <c r="K29" i="879"/>
  <c r="N34" i="879"/>
  <c r="AA8" i="257"/>
  <c r="Q22" i="879"/>
  <c r="S24" i="879"/>
  <c r="AI8" i="257"/>
  <c r="P25" i="879"/>
  <c r="I37" i="879"/>
  <c r="D32" i="878"/>
  <c r="D9" i="257"/>
  <c r="D22" i="878"/>
  <c r="U22" i="878"/>
  <c r="F32" i="878"/>
  <c r="G9" i="257"/>
  <c r="K37" i="878"/>
  <c r="O25" i="878"/>
  <c r="N34" i="878"/>
  <c r="AA9" i="257"/>
  <c r="I37" i="878"/>
  <c r="D32" i="877"/>
  <c r="D10" i="257"/>
  <c r="D22" i="877"/>
  <c r="F22" i="877"/>
  <c r="U22" i="877"/>
  <c r="F32" i="877"/>
  <c r="G10" i="257"/>
  <c r="O25" i="877"/>
  <c r="K29" i="877"/>
  <c r="N34" i="877"/>
  <c r="AA10" i="257"/>
  <c r="Q22" i="877"/>
  <c r="S24" i="877"/>
  <c r="AI10" i="257"/>
  <c r="P25" i="877"/>
  <c r="I37" i="877"/>
  <c r="D32" i="876"/>
  <c r="D11" i="257"/>
  <c r="F32" i="876"/>
  <c r="G11" i="257"/>
  <c r="O25" i="876"/>
  <c r="N34" i="876"/>
  <c r="AA11" i="257"/>
  <c r="Q22" i="876"/>
  <c r="S24" i="876"/>
  <c r="AI11" i="257"/>
  <c r="P25" i="876"/>
  <c r="I37" i="876"/>
  <c r="K37" i="876"/>
  <c r="D32" i="875"/>
  <c r="D12" i="257"/>
  <c r="F22" i="875"/>
  <c r="F32" i="875"/>
  <c r="G12" i="257"/>
  <c r="K37" i="875"/>
  <c r="O25" i="875"/>
  <c r="K29" i="875"/>
  <c r="N34" i="875"/>
  <c r="AA12" i="257"/>
  <c r="S24" i="875"/>
  <c r="AI12" i="257"/>
  <c r="P25" i="875"/>
  <c r="I37" i="875"/>
  <c r="D32" i="874"/>
  <c r="D13" i="257"/>
  <c r="D22" i="874"/>
  <c r="F22" i="874"/>
  <c r="U22" i="874"/>
  <c r="F32" i="874"/>
  <c r="G13" i="257"/>
  <c r="K29" i="874"/>
  <c r="S24" i="874"/>
  <c r="AI13" i="257"/>
  <c r="P25" i="874"/>
  <c r="I37" i="874"/>
  <c r="D32" i="873"/>
  <c r="D14" i="257"/>
  <c r="F32" i="873"/>
  <c r="G14" i="257"/>
  <c r="O25" i="873"/>
  <c r="N34" i="873"/>
  <c r="AA14" i="257"/>
  <c r="P25" i="873"/>
  <c r="I37" i="873"/>
  <c r="D32" i="872"/>
  <c r="D15" i="257"/>
  <c r="F32" i="872"/>
  <c r="G15" i="257"/>
  <c r="O25" i="872"/>
  <c r="N34" i="872"/>
  <c r="AA15" i="257"/>
  <c r="Q22" i="872"/>
  <c r="I37" i="872"/>
  <c r="D32" i="871"/>
  <c r="D16" i="257"/>
  <c r="F32" i="871"/>
  <c r="G16" i="257"/>
  <c r="O25" i="871"/>
  <c r="N34" i="871"/>
  <c r="AA16" i="257"/>
  <c r="Q22" i="871"/>
  <c r="I37" i="871"/>
  <c r="D32" i="870"/>
  <c r="D17" i="257"/>
  <c r="U22" i="870"/>
  <c r="F32" i="870"/>
  <c r="G17" i="257"/>
  <c r="O25" i="870"/>
  <c r="K29" i="870"/>
  <c r="N34" i="870"/>
  <c r="AA17" i="257"/>
  <c r="Q22" i="870"/>
  <c r="S24" i="870"/>
  <c r="AI17" i="257"/>
  <c r="P25" i="870"/>
  <c r="I37" i="870"/>
  <c r="F32" i="869"/>
  <c r="G18" i="257"/>
  <c r="L31" i="869"/>
  <c r="X18" i="257"/>
  <c r="K37" i="869"/>
  <c r="O25" i="869"/>
  <c r="N34" i="869"/>
  <c r="AA18" i="257"/>
  <c r="Q22" i="869"/>
  <c r="I37" i="869"/>
  <c r="D32" i="868"/>
  <c r="D19" i="257"/>
  <c r="F22" i="868"/>
  <c r="U22" i="868"/>
  <c r="F32" i="868"/>
  <c r="G19" i="257"/>
  <c r="O25" i="868"/>
  <c r="K29" i="868"/>
  <c r="N34" i="868"/>
  <c r="AA19" i="257"/>
  <c r="Q22" i="868"/>
  <c r="S24" i="868"/>
  <c r="AI19" i="257"/>
  <c r="P25" i="868"/>
  <c r="I37" i="868"/>
  <c r="D32" i="867"/>
  <c r="D20" i="257"/>
  <c r="D22" i="867"/>
  <c r="F22" i="867"/>
  <c r="U22" i="867"/>
  <c r="F32" i="867"/>
  <c r="G20" i="257"/>
  <c r="O25" i="867"/>
  <c r="K29" i="867"/>
  <c r="N34" i="867"/>
  <c r="AA20" i="257"/>
  <c r="Q22" i="867"/>
  <c r="S24" i="867"/>
  <c r="AI20" i="257"/>
  <c r="P25" i="867"/>
  <c r="I37" i="867"/>
  <c r="D32" i="866"/>
  <c r="D21" i="257"/>
  <c r="F22" i="866"/>
  <c r="U22" i="866"/>
  <c r="F32" i="866"/>
  <c r="G21" i="257"/>
  <c r="O25" i="866"/>
  <c r="K29" i="866"/>
  <c r="N34" i="866"/>
  <c r="AA21" i="257"/>
  <c r="Q22" i="866"/>
  <c r="S24" i="866"/>
  <c r="AI21" i="257"/>
  <c r="P25" i="866"/>
  <c r="I37" i="866"/>
  <c r="D32" i="865"/>
  <c r="D22" i="257"/>
  <c r="D22" i="865"/>
  <c r="F22" i="865"/>
  <c r="F32" i="865"/>
  <c r="G22" i="257"/>
  <c r="O25" i="865"/>
  <c r="N34" i="865"/>
  <c r="AA22" i="257"/>
  <c r="I37" i="865"/>
  <c r="K37" i="865"/>
  <c r="D32" i="864"/>
  <c r="D23" i="257"/>
  <c r="D22" i="864"/>
  <c r="F22" i="864"/>
  <c r="U22" i="864"/>
  <c r="F32" i="864"/>
  <c r="G23" i="257"/>
  <c r="O25" i="864"/>
  <c r="K29" i="864"/>
  <c r="N34" i="864"/>
  <c r="AA23" i="257"/>
  <c r="S24" i="864"/>
  <c r="AI23" i="257"/>
  <c r="P25" i="864"/>
  <c r="I37" i="864"/>
  <c r="D32" i="863"/>
  <c r="D24" i="257"/>
  <c r="F32" i="863"/>
  <c r="G24" i="257"/>
  <c r="O25" i="863"/>
  <c r="N34" i="863"/>
  <c r="AA24" i="257"/>
  <c r="Q22" i="863"/>
  <c r="I37" i="863"/>
  <c r="D32" i="862"/>
  <c r="D25" i="257"/>
  <c r="F32" i="862"/>
  <c r="G25" i="257"/>
  <c r="K37" i="862"/>
  <c r="O25" i="862"/>
  <c r="K29" i="862"/>
  <c r="N34" i="862"/>
  <c r="AA25" i="257"/>
  <c r="S24" i="862"/>
  <c r="AI25" i="257"/>
  <c r="P25" i="862"/>
  <c r="I37" i="862"/>
  <c r="D32" i="861"/>
  <c r="D26" i="257"/>
  <c r="F32" i="861"/>
  <c r="G26" i="257"/>
  <c r="K37" i="861"/>
  <c r="O25" i="861"/>
  <c r="N34" i="861"/>
  <c r="AA26" i="257"/>
  <c r="P25" i="861"/>
  <c r="I37" i="861"/>
  <c r="D32" i="860"/>
  <c r="D27" i="257"/>
  <c r="F32" i="860"/>
  <c r="G27" i="257"/>
  <c r="K29" i="860"/>
  <c r="S24" i="860"/>
  <c r="AI27" i="257"/>
  <c r="P25" i="860"/>
  <c r="I37" i="860"/>
  <c r="D32" i="859"/>
  <c r="D28" i="257"/>
  <c r="U22" i="859"/>
  <c r="F32" i="859"/>
  <c r="G28" i="257"/>
  <c r="T20" i="859"/>
  <c r="S22" i="859"/>
  <c r="O22" i="859"/>
  <c r="J24" i="859"/>
  <c r="O25" i="859"/>
  <c r="J34" i="859"/>
  <c r="I34" i="859"/>
  <c r="D32" i="858"/>
  <c r="D29" i="257"/>
  <c r="K37" i="858"/>
  <c r="O25" i="858"/>
  <c r="N34" i="858"/>
  <c r="AA29" i="257"/>
  <c r="I37" i="858"/>
  <c r="F32" i="857"/>
  <c r="G30" i="257"/>
  <c r="O25" i="857"/>
  <c r="K29" i="857"/>
  <c r="N34" i="857"/>
  <c r="AA30" i="257"/>
  <c r="Q22" i="857"/>
  <c r="S24" i="857"/>
  <c r="AI30" i="257"/>
  <c r="P25" i="857"/>
  <c r="I37" i="857"/>
  <c r="K37" i="857"/>
  <c r="D32" i="856"/>
  <c r="D31" i="257"/>
  <c r="F22" i="856"/>
  <c r="F32" i="856"/>
  <c r="G31" i="257"/>
  <c r="K37" i="856"/>
  <c r="O25" i="856"/>
  <c r="K29" i="856"/>
  <c r="N34" i="856"/>
  <c r="AA31" i="257"/>
  <c r="Q22" i="856"/>
  <c r="S24" i="856"/>
  <c r="AI31" i="257"/>
  <c r="P25" i="856"/>
  <c r="I37" i="856"/>
  <c r="D32" i="855"/>
  <c r="D32" i="257"/>
  <c r="D22" i="855"/>
  <c r="F22" i="855"/>
  <c r="U22" i="855"/>
  <c r="O25" i="855"/>
  <c r="K29" i="855"/>
  <c r="N34" i="855"/>
  <c r="AA32" i="257"/>
  <c r="Q22" i="855"/>
  <c r="S24" i="855"/>
  <c r="AI32" i="257"/>
  <c r="P25" i="855"/>
  <c r="I37" i="855"/>
  <c r="D32" i="854"/>
  <c r="D33" i="257"/>
  <c r="F32" i="854"/>
  <c r="G33" i="257"/>
  <c r="O25" i="854"/>
  <c r="K29" i="854"/>
  <c r="N34" i="854"/>
  <c r="AA33" i="257"/>
  <c r="K37" i="854"/>
  <c r="Q22" i="854"/>
  <c r="S24" i="854"/>
  <c r="AI33" i="257"/>
  <c r="P25" i="854"/>
  <c r="I37" i="854"/>
  <c r="D32" i="853"/>
  <c r="D34" i="257"/>
  <c r="D22" i="853"/>
  <c r="F22" i="853"/>
  <c r="U22" i="853"/>
  <c r="F32" i="853"/>
  <c r="G34" i="257"/>
  <c r="O25" i="853"/>
  <c r="N34" i="853"/>
  <c r="AA34" i="257"/>
  <c r="K37" i="853"/>
  <c r="Q22" i="853"/>
  <c r="I37" i="853"/>
  <c r="D32" i="852"/>
  <c r="D35" i="257"/>
  <c r="D22" i="852"/>
  <c r="F22" i="852"/>
  <c r="U22" i="852"/>
  <c r="F32" i="852"/>
  <c r="G35" i="257"/>
  <c r="O25" i="852"/>
  <c r="K29" i="852"/>
  <c r="N34" i="852"/>
  <c r="AA35" i="257"/>
  <c r="Q22" i="852"/>
  <c r="S24" i="852"/>
  <c r="AI35" i="257"/>
  <c r="P25" i="852"/>
  <c r="I37" i="852"/>
  <c r="D32" i="851"/>
  <c r="D36" i="257"/>
  <c r="O25" i="851"/>
  <c r="K29" i="851"/>
  <c r="N34" i="851"/>
  <c r="AA36" i="257"/>
  <c r="Q22" i="851"/>
  <c r="S24" i="851"/>
  <c r="AI36" i="257"/>
  <c r="P25" i="851"/>
  <c r="I37" i="851"/>
  <c r="D32" i="850"/>
  <c r="D37" i="257"/>
  <c r="F22" i="850"/>
  <c r="U22" i="850"/>
  <c r="F32" i="850"/>
  <c r="G37" i="257"/>
  <c r="K37" i="850"/>
  <c r="O25" i="850"/>
  <c r="N34" i="850"/>
  <c r="AA37" i="257"/>
  <c r="Q22" i="850"/>
  <c r="I37" i="850"/>
  <c r="D32" i="849"/>
  <c r="D38" i="257"/>
  <c r="D22" i="849"/>
  <c r="U22" i="849"/>
  <c r="F32" i="849"/>
  <c r="G38" i="257"/>
  <c r="O25" i="849"/>
  <c r="K29" i="849"/>
  <c r="N34" i="849"/>
  <c r="AA38" i="257"/>
  <c r="Q22" i="849"/>
  <c r="S24" i="849"/>
  <c r="AI38" i="257"/>
  <c r="P25" i="849"/>
  <c r="I37" i="849"/>
  <c r="D32" i="848"/>
  <c r="D39" i="257"/>
  <c r="D22" i="848"/>
  <c r="F22" i="848"/>
  <c r="F32" i="848"/>
  <c r="G39" i="257"/>
  <c r="O25" i="848"/>
  <c r="K29" i="848"/>
  <c r="N34" i="848"/>
  <c r="AA39" i="257"/>
  <c r="S24" i="848"/>
  <c r="AI39" i="257"/>
  <c r="P25" i="848"/>
  <c r="I37" i="848"/>
  <c r="D32" i="847"/>
  <c r="D40" i="257"/>
  <c r="D22" i="847"/>
  <c r="F22" i="847"/>
  <c r="U22" i="847"/>
  <c r="F32" i="847"/>
  <c r="G40" i="257"/>
  <c r="O25" i="847"/>
  <c r="N34" i="847"/>
  <c r="AA40" i="257"/>
  <c r="K37" i="847"/>
  <c r="P25" i="847"/>
  <c r="I37" i="847"/>
  <c r="D32" i="846"/>
  <c r="D41" i="257"/>
  <c r="F32" i="846"/>
  <c r="G41" i="257"/>
  <c r="K37" i="846"/>
  <c r="N34" i="846"/>
  <c r="AA41" i="257"/>
  <c r="Q22" i="846"/>
  <c r="P25" i="846"/>
  <c r="I37" i="846"/>
  <c r="D32" i="845"/>
  <c r="D42" i="257"/>
  <c r="D22" i="845"/>
  <c r="F22" i="845"/>
  <c r="U22" i="845"/>
  <c r="F32" i="845"/>
  <c r="G42" i="257"/>
  <c r="I37" i="845"/>
  <c r="D32" i="844"/>
  <c r="D43" i="257"/>
  <c r="F32" i="844"/>
  <c r="G43" i="257"/>
  <c r="O25" i="844"/>
  <c r="K29" i="844"/>
  <c r="N34" i="844"/>
  <c r="AA43" i="257"/>
  <c r="Q22" i="844"/>
  <c r="S24" i="844"/>
  <c r="AI43" i="257"/>
  <c r="P25" i="844"/>
  <c r="I37" i="844"/>
  <c r="D32" i="843"/>
  <c r="D44" i="257"/>
  <c r="D22" i="843"/>
  <c r="F22" i="843"/>
  <c r="F32" i="843"/>
  <c r="G44" i="257"/>
  <c r="O25" i="843"/>
  <c r="N34" i="843"/>
  <c r="AA44" i="257"/>
  <c r="K37" i="843"/>
  <c r="P25" i="843"/>
  <c r="I37" i="843"/>
  <c r="D32" i="842"/>
  <c r="D45" i="257"/>
  <c r="F32" i="842"/>
  <c r="G45" i="257"/>
  <c r="O25" i="842"/>
  <c r="N34" i="842"/>
  <c r="AA45" i="257"/>
  <c r="Q22" i="842"/>
  <c r="I37" i="842"/>
  <c r="D32" i="841"/>
  <c r="D46" i="257"/>
  <c r="D22" i="841"/>
  <c r="F22" i="841"/>
  <c r="U22" i="841"/>
  <c r="F32" i="841"/>
  <c r="G46" i="257"/>
  <c r="O25" i="841"/>
  <c r="N34" i="841"/>
  <c r="AA46" i="257"/>
  <c r="P25" i="841"/>
  <c r="I37" i="841"/>
  <c r="D32" i="840"/>
  <c r="D47" i="257"/>
  <c r="F22" i="840"/>
  <c r="F32" i="840"/>
  <c r="G47" i="257"/>
  <c r="K37" i="840"/>
  <c r="O25" i="840"/>
  <c r="N34" i="840"/>
  <c r="AA47" i="257"/>
  <c r="P25" i="840"/>
  <c r="I37" i="840"/>
  <c r="D32" i="839"/>
  <c r="D49" i="257"/>
  <c r="D22" i="839"/>
  <c r="U22" i="839"/>
  <c r="F32" i="839"/>
  <c r="G49" i="257"/>
  <c r="O25" i="839"/>
  <c r="N28" i="839"/>
  <c r="K29" i="839"/>
  <c r="N34" i="839"/>
  <c r="AA49" i="257"/>
  <c r="I37" i="839"/>
  <c r="D32" i="838"/>
  <c r="D50" i="257"/>
  <c r="F32" i="838"/>
  <c r="G50" i="257"/>
  <c r="O25" i="838"/>
  <c r="N34" i="838"/>
  <c r="AA50" i="257"/>
  <c r="I37" i="838"/>
  <c r="D32" i="837"/>
  <c r="D51" i="257"/>
  <c r="D22" i="837"/>
  <c r="F22" i="837"/>
  <c r="F32" i="837"/>
  <c r="G51" i="257"/>
  <c r="O25" i="837"/>
  <c r="N34" i="837"/>
  <c r="AA51" i="257"/>
  <c r="I37" i="837"/>
  <c r="D32" i="836"/>
  <c r="D52" i="257"/>
  <c r="D22" i="836"/>
  <c r="F22" i="836"/>
  <c r="U22" i="836"/>
  <c r="F32" i="836"/>
  <c r="G52" i="257"/>
  <c r="O25" i="836"/>
  <c r="K29" i="836"/>
  <c r="N34" i="836"/>
  <c r="AA52" i="257"/>
  <c r="Q22" i="836"/>
  <c r="S24" i="836"/>
  <c r="AI52" i="257"/>
  <c r="P25" i="836"/>
  <c r="I37" i="836"/>
  <c r="D32" i="835"/>
  <c r="D53" i="257"/>
  <c r="D22" i="835"/>
  <c r="F22" i="835"/>
  <c r="U22" i="835"/>
  <c r="F32" i="835"/>
  <c r="G53" i="257"/>
  <c r="O25" i="835"/>
  <c r="N34" i="835"/>
  <c r="AA53" i="257"/>
  <c r="I37" i="835"/>
  <c r="D32" i="834"/>
  <c r="D54" i="257"/>
  <c r="F32" i="834"/>
  <c r="G54" i="257"/>
  <c r="O25" i="834"/>
  <c r="N34" i="834"/>
  <c r="AA54" i="257"/>
  <c r="I37" i="834"/>
  <c r="D32" i="833"/>
  <c r="D55" i="257"/>
  <c r="D22" i="833"/>
  <c r="F22" i="833"/>
  <c r="U22" i="833"/>
  <c r="F32" i="833"/>
  <c r="G55" i="257"/>
  <c r="O25" i="833"/>
  <c r="K29" i="833"/>
  <c r="N34" i="833"/>
  <c r="AA55" i="257"/>
  <c r="Q22" i="833"/>
  <c r="S24" i="833"/>
  <c r="AI55" i="257"/>
  <c r="P25" i="833"/>
  <c r="I37" i="833"/>
  <c r="K37" i="833"/>
  <c r="D32" i="832"/>
  <c r="D56" i="257"/>
  <c r="F32" i="832"/>
  <c r="G56" i="257"/>
  <c r="O25" i="832"/>
  <c r="K29" i="832"/>
  <c r="N34" i="832"/>
  <c r="AA56" i="257"/>
  <c r="Q22" i="832"/>
  <c r="S24" i="832"/>
  <c r="AI56" i="257"/>
  <c r="P25" i="832"/>
  <c r="I37" i="832"/>
  <c r="D32" i="831"/>
  <c r="D57" i="257"/>
  <c r="F32" i="831"/>
  <c r="G57" i="257"/>
  <c r="O25" i="831"/>
  <c r="N34" i="831"/>
  <c r="AA57" i="257"/>
  <c r="I37" i="831"/>
  <c r="D32" i="830"/>
  <c r="D58" i="257"/>
  <c r="F32" i="830"/>
  <c r="G58" i="257"/>
  <c r="K37" i="830"/>
  <c r="O25" i="830"/>
  <c r="N34" i="830"/>
  <c r="AA58" i="257"/>
  <c r="Q22" i="830"/>
  <c r="P25" i="830"/>
  <c r="I37" i="830"/>
  <c r="D32" i="829"/>
  <c r="D59" i="257"/>
  <c r="D22" i="829"/>
  <c r="F22" i="829"/>
  <c r="F32" i="829"/>
  <c r="G59" i="257"/>
  <c r="K37" i="829"/>
  <c r="O25" i="829"/>
  <c r="N34" i="829"/>
  <c r="AA59" i="257"/>
  <c r="I37" i="829"/>
  <c r="D32" i="828"/>
  <c r="D60" i="257"/>
  <c r="D22" i="828"/>
  <c r="F22" i="828"/>
  <c r="U22" i="828"/>
  <c r="O25" i="828"/>
  <c r="P25" i="828"/>
  <c r="I37" i="828"/>
  <c r="K6" i="259"/>
  <c r="K18" i="259"/>
  <c r="K4" i="259"/>
  <c r="K5" i="259"/>
  <c r="K30" i="259"/>
  <c r="K14" i="259"/>
  <c r="K24" i="259"/>
  <c r="K7" i="259"/>
  <c r="Q23" i="259"/>
  <c r="N6" i="259"/>
  <c r="N5" i="259"/>
  <c r="F24" i="875"/>
  <c r="N17" i="259"/>
  <c r="N15" i="259"/>
  <c r="O42" i="257"/>
  <c r="AD13" i="257"/>
  <c r="D22" i="838"/>
  <c r="P41" i="258"/>
  <c r="N20" i="257"/>
  <c r="U24" i="867"/>
  <c r="K20" i="257"/>
  <c r="K7" i="257"/>
  <c r="U52" i="257"/>
  <c r="U24" i="839"/>
  <c r="L49" i="257"/>
  <c r="U24" i="862"/>
  <c r="F24" i="879"/>
  <c r="D22" i="879"/>
  <c r="U37" i="257"/>
  <c r="D22" i="850"/>
  <c r="D22" i="856"/>
  <c r="I29" i="257"/>
  <c r="F22" i="878"/>
  <c r="G39" i="258"/>
  <c r="Q24" i="259"/>
  <c r="R26" i="258"/>
  <c r="Q16" i="259"/>
  <c r="F24" i="862"/>
  <c r="G25" i="258"/>
  <c r="AH61" i="257"/>
  <c r="AD61" i="258"/>
  <c r="O15" i="257"/>
  <c r="U22" i="856"/>
  <c r="D24" i="856"/>
  <c r="I23" i="258"/>
  <c r="AD53" i="257"/>
  <c r="P17" i="257"/>
  <c r="F22" i="870"/>
  <c r="D24" i="880"/>
  <c r="AF11" i="257"/>
  <c r="I5" i="257"/>
  <c r="L60" i="257"/>
  <c r="U22" i="829"/>
  <c r="AC59" i="258"/>
  <c r="D22" i="859"/>
  <c r="F22" i="881"/>
  <c r="F24" i="887"/>
  <c r="I35" i="257"/>
  <c r="L31" i="853"/>
  <c r="X34" i="257"/>
  <c r="U22" i="865"/>
  <c r="AC22" i="258"/>
  <c r="L31" i="851"/>
  <c r="X36" i="257"/>
  <c r="U24" i="877"/>
  <c r="AD10" i="258"/>
  <c r="J10" i="257"/>
  <c r="J5" i="257"/>
  <c r="P5" i="258"/>
  <c r="O46" i="257"/>
  <c r="F22" i="830"/>
  <c r="F49" i="258"/>
  <c r="U22" i="862"/>
  <c r="AC25" i="258"/>
  <c r="D22" i="866"/>
  <c r="AD8" i="257"/>
  <c r="K57" i="257"/>
  <c r="F24" i="831"/>
  <c r="K39" i="257"/>
  <c r="D24" i="878"/>
  <c r="I28" i="257"/>
  <c r="F22" i="849"/>
  <c r="M55" i="258"/>
  <c r="P52" i="257"/>
  <c r="L36" i="257"/>
  <c r="U24" i="887"/>
  <c r="AH48" i="257"/>
  <c r="U48" i="258"/>
  <c r="F22" i="887"/>
  <c r="I9" i="258"/>
  <c r="U22" i="875"/>
  <c r="AC12" i="258"/>
  <c r="D22" i="875"/>
  <c r="H21" i="258"/>
  <c r="H18" i="258"/>
  <c r="P8" i="257"/>
  <c r="U11" i="258"/>
  <c r="M11" i="258"/>
  <c r="F24" i="863"/>
  <c r="D22" i="831"/>
  <c r="U24" i="843"/>
  <c r="U12" i="258"/>
  <c r="D24" i="875"/>
  <c r="Z10" i="258"/>
  <c r="P10" i="257"/>
  <c r="J9" i="257"/>
  <c r="U15" i="257"/>
  <c r="AF33" i="257"/>
  <c r="F22" i="876"/>
  <c r="F39" i="258"/>
  <c r="L31" i="862"/>
  <c r="X25" i="257"/>
  <c r="D24" i="883"/>
  <c r="R4" i="258"/>
  <c r="J4" i="257"/>
  <c r="AD2" i="257"/>
  <c r="P54" i="258"/>
  <c r="AD54" i="257"/>
  <c r="G53" i="258"/>
  <c r="K48" i="257"/>
  <c r="L31" i="887"/>
  <c r="X48" i="257"/>
  <c r="F14" i="258"/>
  <c r="T14" i="257"/>
  <c r="F24" i="873"/>
  <c r="L31" i="855"/>
  <c r="X32" i="257"/>
  <c r="J32" i="257"/>
  <c r="P32" i="257"/>
  <c r="P56" i="258"/>
  <c r="AD56" i="257"/>
  <c r="AD22" i="257"/>
  <c r="U24" i="865"/>
  <c r="AD22" i="258"/>
  <c r="F24" i="834"/>
  <c r="L18" i="258"/>
  <c r="AC9" i="257"/>
  <c r="F22" i="883"/>
  <c r="O4" i="257"/>
  <c r="M19" i="258"/>
  <c r="T12" i="259"/>
  <c r="L41" i="258"/>
  <c r="P36" i="257"/>
  <c r="L31" i="858"/>
  <c r="X29" i="257"/>
  <c r="F22" i="832"/>
  <c r="P53" i="257"/>
  <c r="AF26" i="257"/>
  <c r="D22" i="861"/>
  <c r="J58" i="257"/>
  <c r="L58" i="257"/>
  <c r="U24" i="873"/>
  <c r="AD14" i="258"/>
  <c r="U22" i="880"/>
  <c r="AC7" i="258"/>
  <c r="AF47" i="257"/>
  <c r="H12" i="258"/>
  <c r="AD10" i="257"/>
  <c r="V52" i="258"/>
  <c r="L31" i="835"/>
  <c r="X53" i="257"/>
  <c r="F21" i="258"/>
  <c r="AD21" i="257"/>
  <c r="T19" i="257"/>
  <c r="F24" i="868"/>
  <c r="L31" i="828"/>
  <c r="X60" i="257"/>
  <c r="P39" i="257"/>
  <c r="L31" i="848"/>
  <c r="X39" i="257"/>
  <c r="D24" i="854"/>
  <c r="U24" i="870"/>
  <c r="AH17" i="257"/>
  <c r="F17" i="258"/>
  <c r="D22" i="882"/>
  <c r="Z2" i="258"/>
  <c r="F24" i="871"/>
  <c r="F24" i="833"/>
  <c r="AC57" i="257"/>
  <c r="F24" i="846"/>
  <c r="I18" i="257"/>
  <c r="I42" i="257"/>
  <c r="K40" i="257"/>
  <c r="O40" i="257"/>
  <c r="AF37" i="257"/>
  <c r="L37" i="258"/>
  <c r="L31" i="874"/>
  <c r="X13" i="257"/>
  <c r="F24" i="878"/>
  <c r="L31" i="880"/>
  <c r="X7" i="257"/>
  <c r="U24" i="860"/>
  <c r="AH27" i="257"/>
  <c r="J27" i="257"/>
  <c r="P25" i="258"/>
  <c r="AC28" i="257"/>
  <c r="U22" i="883"/>
  <c r="AC4" i="258"/>
  <c r="U15" i="258"/>
  <c r="N18" i="259"/>
  <c r="F24" i="830"/>
  <c r="AG56" i="257"/>
  <c r="AD32" i="257"/>
  <c r="L31" i="873"/>
  <c r="X14" i="257"/>
  <c r="F41" i="258"/>
  <c r="U41" i="257"/>
  <c r="I45" i="257"/>
  <c r="AC18" i="257"/>
  <c r="D24" i="869"/>
  <c r="M12" i="258"/>
  <c r="J24" i="257"/>
  <c r="M6" i="258"/>
  <c r="L6" i="258"/>
  <c r="L31" i="840"/>
  <c r="X47" i="257"/>
  <c r="L27" i="257"/>
  <c r="L31" i="872"/>
  <c r="X15" i="257"/>
  <c r="L8" i="257"/>
  <c r="L31" i="879"/>
  <c r="X8" i="257"/>
  <c r="K8" i="257"/>
  <c r="L31" i="832"/>
  <c r="X56" i="257"/>
  <c r="V39" i="258"/>
  <c r="J29" i="257"/>
  <c r="T29" i="257"/>
  <c r="O11" i="257"/>
  <c r="F24" i="835"/>
  <c r="I13" i="258"/>
  <c r="K9" i="259"/>
  <c r="T13" i="257"/>
  <c r="AG43" i="257"/>
  <c r="F24" i="852"/>
  <c r="D24" i="884"/>
  <c r="L31" i="884"/>
  <c r="X3" i="257"/>
  <c r="U51" i="258"/>
  <c r="Q18" i="259"/>
  <c r="P51" i="258"/>
  <c r="Q14" i="259"/>
  <c r="I26" i="258"/>
  <c r="Q9" i="259"/>
  <c r="G26" i="258"/>
  <c r="J2" i="257"/>
  <c r="U22" i="885"/>
  <c r="AG2" i="257"/>
  <c r="V57" i="258"/>
  <c r="L31" i="847"/>
  <c r="X40" i="257"/>
  <c r="U32" i="258"/>
  <c r="H18" i="259"/>
  <c r="Z22" i="258"/>
  <c r="O22" i="257"/>
  <c r="AF54" i="257"/>
  <c r="U24" i="834"/>
  <c r="AH54" i="257"/>
  <c r="U24" i="854"/>
  <c r="AH33" i="257"/>
  <c r="F22" i="857"/>
  <c r="L31" i="857"/>
  <c r="X30" i="257"/>
  <c r="D24" i="877"/>
  <c r="U24" i="830"/>
  <c r="AH58" i="257"/>
  <c r="U22" i="830"/>
  <c r="AC58" i="258"/>
  <c r="L31" i="850"/>
  <c r="X37" i="257"/>
  <c r="I20" i="257"/>
  <c r="L31" i="867"/>
  <c r="X20" i="257"/>
  <c r="U20" i="258"/>
  <c r="L20" i="257"/>
  <c r="AH13" i="257"/>
  <c r="I12" i="258"/>
  <c r="AC39" i="257"/>
  <c r="U27" i="258"/>
  <c r="F24" i="860"/>
  <c r="L31" i="860"/>
  <c r="X27" i="257"/>
  <c r="AD26" i="257"/>
  <c r="K6" i="258"/>
  <c r="U29" i="258"/>
  <c r="I29" i="258"/>
  <c r="P48" i="257"/>
  <c r="I48" i="257"/>
  <c r="D24" i="866"/>
  <c r="G21" i="258"/>
  <c r="L31" i="866"/>
  <c r="X21" i="257"/>
  <c r="G54" i="258"/>
  <c r="L31" i="845"/>
  <c r="X42" i="257"/>
  <c r="F11" i="258"/>
  <c r="D24" i="876"/>
  <c r="I47" i="258"/>
  <c r="J44" i="257"/>
  <c r="L31" i="865"/>
  <c r="X22" i="257"/>
  <c r="O17" i="257"/>
  <c r="V19" i="258"/>
  <c r="T19" i="259"/>
  <c r="F10" i="258"/>
  <c r="AC10" i="257"/>
  <c r="F24" i="885"/>
  <c r="AF57" i="257"/>
  <c r="L57" i="258"/>
  <c r="L31" i="831"/>
  <c r="X57" i="257"/>
  <c r="AF51" i="257"/>
  <c r="L31" i="836"/>
  <c r="X52" i="257"/>
  <c r="F46" i="258"/>
  <c r="AG41" i="257"/>
  <c r="K41" i="257"/>
  <c r="U41" i="258"/>
  <c r="L31" i="846"/>
  <c r="X41" i="257"/>
  <c r="H35" i="258"/>
  <c r="I36" i="257"/>
  <c r="H34" i="258"/>
  <c r="K8" i="259"/>
  <c r="T26" i="257"/>
  <c r="L31" i="861"/>
  <c r="X26" i="257"/>
  <c r="F24" i="861"/>
  <c r="L26" i="258"/>
  <c r="AC21" i="257"/>
  <c r="AC6" i="257"/>
  <c r="F24" i="881"/>
  <c r="D24" i="881"/>
  <c r="L56" i="257"/>
  <c r="F24" i="843"/>
  <c r="L31" i="875"/>
  <c r="X12" i="257"/>
  <c r="U24" i="875"/>
  <c r="AD12" i="258"/>
  <c r="AC50" i="257"/>
  <c r="K49" i="257"/>
  <c r="U42" i="257"/>
  <c r="I4" i="257"/>
  <c r="F24" i="883"/>
  <c r="L31" i="883"/>
  <c r="X4" i="257"/>
  <c r="I51" i="257"/>
  <c r="V51" i="258"/>
  <c r="Q19" i="259"/>
  <c r="R47" i="258"/>
  <c r="AC47" i="257"/>
  <c r="Q60" i="258"/>
  <c r="E15" i="259"/>
  <c r="I58" i="257"/>
  <c r="AC54" i="257"/>
  <c r="L54" i="258"/>
  <c r="U27" i="257"/>
  <c r="V27" i="258"/>
  <c r="O23" i="257"/>
  <c r="I23" i="257"/>
  <c r="T23" i="257"/>
  <c r="F19" i="258"/>
  <c r="T6" i="259"/>
  <c r="F8" i="258"/>
  <c r="I24" i="257"/>
  <c r="AC24" i="257"/>
  <c r="U24" i="257"/>
  <c r="T11" i="257"/>
  <c r="D22" i="876"/>
  <c r="L31" i="876"/>
  <c r="X11" i="257"/>
  <c r="U53" i="257"/>
  <c r="AC53" i="257"/>
  <c r="U25" i="258"/>
  <c r="O45" i="257"/>
  <c r="F24" i="842"/>
  <c r="K43" i="257"/>
  <c r="AC43" i="257"/>
  <c r="L31" i="844"/>
  <c r="X43" i="257"/>
  <c r="AF30" i="257"/>
  <c r="P30" i="257"/>
  <c r="AD30" i="257"/>
  <c r="O29" i="257"/>
  <c r="R29" i="258"/>
  <c r="AD29" i="257"/>
  <c r="AC16" i="257"/>
  <c r="I7" i="257"/>
  <c r="T46" i="257"/>
  <c r="M46" i="258"/>
  <c r="AC37" i="257"/>
  <c r="R22" i="258"/>
  <c r="D24" i="865"/>
  <c r="L31" i="877"/>
  <c r="X10" i="257"/>
  <c r="F24" i="877"/>
  <c r="H9" i="258"/>
  <c r="T9" i="257"/>
  <c r="L31" i="878"/>
  <c r="X9" i="257"/>
  <c r="I57" i="257"/>
  <c r="U57" i="257"/>
  <c r="G51" i="258"/>
  <c r="Q7" i="259"/>
  <c r="U51" i="257"/>
  <c r="U22" i="837"/>
  <c r="AC51" i="258"/>
  <c r="U24" i="883"/>
  <c r="AD4" i="258"/>
  <c r="AC4" i="257"/>
  <c r="T4" i="257"/>
  <c r="AD3" i="258"/>
  <c r="F3" i="258"/>
  <c r="U3" i="258"/>
  <c r="G3" i="258"/>
  <c r="U59" i="258"/>
  <c r="I47" i="257"/>
  <c r="I42" i="258"/>
  <c r="M34" i="258"/>
  <c r="K12" i="259"/>
  <c r="I34" i="257"/>
  <c r="Q34" i="258"/>
  <c r="K15" i="259"/>
  <c r="I33" i="257"/>
  <c r="AC33" i="257"/>
  <c r="I55" i="257"/>
  <c r="AC55" i="257"/>
  <c r="F52" i="258"/>
  <c r="U52" i="258"/>
  <c r="K52" i="257"/>
  <c r="AC23" i="257"/>
  <c r="U24" i="881"/>
  <c r="AD6" i="258"/>
  <c r="K5" i="257"/>
  <c r="U56" i="258"/>
  <c r="F50" i="258"/>
  <c r="F16" i="258"/>
  <c r="L16" i="257"/>
  <c r="AC8" i="258"/>
  <c r="AG8" i="257"/>
  <c r="U24" i="879"/>
  <c r="AD8" i="258"/>
  <c r="AC8" i="257"/>
  <c r="O8" i="257"/>
  <c r="J8" i="257"/>
  <c r="AC2" i="257"/>
  <c r="P2" i="258"/>
  <c r="P53" i="258"/>
  <c r="I40" i="257"/>
  <c r="U40" i="258"/>
  <c r="J40" i="257"/>
  <c r="I26" i="257"/>
  <c r="H26" i="258"/>
  <c r="Q8" i="259"/>
  <c r="AC26" i="258"/>
  <c r="I15" i="257"/>
  <c r="I15" i="258"/>
  <c r="N9" i="259"/>
  <c r="AD11" i="257"/>
  <c r="I38" i="257"/>
  <c r="L38" i="257"/>
  <c r="AC38" i="257"/>
  <c r="U22" i="258"/>
  <c r="L22" i="257"/>
  <c r="AC14" i="258"/>
  <c r="K10" i="257"/>
  <c r="P10" i="258"/>
  <c r="T7" i="257"/>
  <c r="AC46" i="257"/>
  <c r="I25" i="257"/>
  <c r="L25" i="257"/>
  <c r="L24" i="257"/>
  <c r="AC17" i="257"/>
  <c r="AC54" i="258"/>
  <c r="I44" i="258"/>
  <c r="AC44" i="257"/>
  <c r="V44" i="257"/>
  <c r="T39" i="257"/>
  <c r="I32" i="257"/>
  <c r="R28" i="258"/>
  <c r="L31" i="859"/>
  <c r="X28" i="257"/>
  <c r="O28" i="257"/>
  <c r="J28" i="257"/>
  <c r="AC13" i="257"/>
  <c r="AD60" i="258"/>
  <c r="E26" i="259"/>
  <c r="I60" i="257"/>
  <c r="P60" i="258"/>
  <c r="E14" i="259"/>
  <c r="U60" i="258"/>
  <c r="E18" i="259"/>
  <c r="O58" i="257"/>
  <c r="L31" i="830"/>
  <c r="X58" i="257"/>
  <c r="K58" i="257"/>
  <c r="J45" i="257"/>
  <c r="D22" i="842"/>
  <c r="U35" i="258"/>
  <c r="Q49" i="258"/>
  <c r="AC36" i="257"/>
  <c r="F30" i="258"/>
  <c r="L19" i="257"/>
  <c r="AC19" i="257"/>
  <c r="N22" i="257"/>
  <c r="K22" i="258"/>
  <c r="N22" i="258"/>
  <c r="Q22" i="257"/>
  <c r="M22" i="258"/>
  <c r="P22" i="257"/>
  <c r="Z12" i="258"/>
  <c r="N22" i="259"/>
  <c r="AF12" i="257"/>
  <c r="K12" i="258"/>
  <c r="N12" i="257"/>
  <c r="V12" i="258"/>
  <c r="AD12" i="257"/>
  <c r="Q12" i="257"/>
  <c r="N12" i="258"/>
  <c r="AG12" i="257"/>
  <c r="L12" i="258"/>
  <c r="N11" i="259"/>
  <c r="O12" i="257"/>
  <c r="K11" i="258"/>
  <c r="N11" i="257"/>
  <c r="AG11" i="257"/>
  <c r="AC11" i="258"/>
  <c r="V11" i="257"/>
  <c r="R11" i="258"/>
  <c r="Q11" i="257"/>
  <c r="N11" i="258"/>
  <c r="AD11" i="258"/>
  <c r="AH11" i="257"/>
  <c r="Z8" i="258"/>
  <c r="AF8" i="257"/>
  <c r="K8" i="258"/>
  <c r="N8" i="257"/>
  <c r="V8" i="257"/>
  <c r="R8" i="258"/>
  <c r="Q8" i="258"/>
  <c r="U8" i="257"/>
  <c r="N8" i="258"/>
  <c r="Q8" i="257"/>
  <c r="Z4" i="258"/>
  <c r="AF4" i="257"/>
  <c r="N4" i="257"/>
  <c r="K4" i="258"/>
  <c r="Q4" i="258"/>
  <c r="AD4" i="257"/>
  <c r="V4" i="258"/>
  <c r="N4" i="258"/>
  <c r="Q4" i="257"/>
  <c r="K52" i="258"/>
  <c r="N52" i="257"/>
  <c r="AC52" i="258"/>
  <c r="AG52" i="257"/>
  <c r="N52" i="258"/>
  <c r="Q52" i="257"/>
  <c r="O52" i="257"/>
  <c r="L52" i="258"/>
  <c r="AH52" i="257"/>
  <c r="AD52" i="258"/>
  <c r="R52" i="258"/>
  <c r="V52" i="257"/>
  <c r="AH42" i="257"/>
  <c r="Z42" i="258"/>
  <c r="AF42" i="257"/>
  <c r="K42" i="258"/>
  <c r="N42" i="257"/>
  <c r="P42" i="257"/>
  <c r="M42" i="258"/>
  <c r="AG42" i="257"/>
  <c r="AC42" i="258"/>
  <c r="Q42" i="257"/>
  <c r="N42" i="258"/>
  <c r="AC29" i="258"/>
  <c r="Z29" i="258"/>
  <c r="AF29" i="257"/>
  <c r="K29" i="258"/>
  <c r="N29" i="257"/>
  <c r="AD29" i="258"/>
  <c r="AH29" i="257"/>
  <c r="Q29" i="257"/>
  <c r="N29" i="258"/>
  <c r="P29" i="257"/>
  <c r="M29" i="258"/>
  <c r="N26" i="257"/>
  <c r="K26" i="258"/>
  <c r="AD26" i="258"/>
  <c r="AH26" i="257"/>
  <c r="Q26" i="257"/>
  <c r="N26" i="258"/>
  <c r="K21" i="258"/>
  <c r="N21" i="257"/>
  <c r="O21" i="257"/>
  <c r="L21" i="258"/>
  <c r="AC21" i="258"/>
  <c r="AG21" i="257"/>
  <c r="R21" i="258"/>
  <c r="V21" i="257"/>
  <c r="N21" i="258"/>
  <c r="Q21" i="257"/>
  <c r="AH21" i="257"/>
  <c r="AD21" i="258"/>
  <c r="K10" i="258"/>
  <c r="N10" i="257"/>
  <c r="AC10" i="258"/>
  <c r="AG10" i="257"/>
  <c r="N10" i="258"/>
  <c r="Q10" i="257"/>
  <c r="L10" i="258"/>
  <c r="O10" i="257"/>
  <c r="R10" i="258"/>
  <c r="V10" i="257"/>
  <c r="AG57" i="257"/>
  <c r="N57" i="257"/>
  <c r="K57" i="258"/>
  <c r="N57" i="258"/>
  <c r="Q57" i="257"/>
  <c r="AD57" i="258"/>
  <c r="AH57" i="257"/>
  <c r="K54" i="258"/>
  <c r="N54" i="257"/>
  <c r="Q54" i="257"/>
  <c r="N54" i="258"/>
  <c r="L54" i="257"/>
  <c r="I54" i="258"/>
  <c r="K53" i="258"/>
  <c r="N53" i="257"/>
  <c r="L53" i="257"/>
  <c r="I53" i="258"/>
  <c r="AH53" i="257"/>
  <c r="AD53" i="258"/>
  <c r="AG53" i="257"/>
  <c r="AC53" i="258"/>
  <c r="Q53" i="257"/>
  <c r="N53" i="258"/>
  <c r="N37" i="257"/>
  <c r="K37" i="258"/>
  <c r="AD37" i="257"/>
  <c r="V37" i="258"/>
  <c r="N37" i="258"/>
  <c r="Q37" i="257"/>
  <c r="AC37" i="258"/>
  <c r="AG37" i="257"/>
  <c r="R37" i="258"/>
  <c r="V37" i="257"/>
  <c r="AD37" i="258"/>
  <c r="AH37" i="257"/>
  <c r="K15" i="258"/>
  <c r="N15" i="257"/>
  <c r="V15" i="258"/>
  <c r="N19" i="259"/>
  <c r="AD15" i="257"/>
  <c r="AG15" i="257"/>
  <c r="AC15" i="258"/>
  <c r="AD15" i="258"/>
  <c r="AH15" i="257"/>
  <c r="P15" i="257"/>
  <c r="M15" i="258"/>
  <c r="N12" i="259"/>
  <c r="Q15" i="257"/>
  <c r="N15" i="258"/>
  <c r="N13" i="259"/>
  <c r="V15" i="257"/>
  <c r="R15" i="258"/>
  <c r="N16" i="259"/>
  <c r="K15" i="257"/>
  <c r="H15" i="258"/>
  <c r="N8" i="259"/>
  <c r="K2" i="258"/>
  <c r="N2" i="257"/>
  <c r="R2" i="258"/>
  <c r="H2" i="258"/>
  <c r="K2" i="257"/>
  <c r="AD2" i="258"/>
  <c r="AH2" i="257"/>
  <c r="M2" i="258"/>
  <c r="P2" i="257"/>
  <c r="F24" i="854"/>
  <c r="L51" i="258"/>
  <c r="F24" i="837"/>
  <c r="D24" i="830"/>
  <c r="U58" i="257"/>
  <c r="T45" i="257"/>
  <c r="AD6" i="257"/>
  <c r="AC58" i="257"/>
  <c r="K51" i="257"/>
  <c r="I45" i="258"/>
  <c r="U45" i="258"/>
  <c r="L31" i="854"/>
  <c r="X33" i="257"/>
  <c r="AD28" i="257"/>
  <c r="D24" i="859"/>
  <c r="AG6" i="257"/>
  <c r="AC6" i="258"/>
  <c r="G6" i="258"/>
  <c r="Q6" i="258"/>
  <c r="L31" i="881"/>
  <c r="X6" i="257"/>
  <c r="Z58" i="258"/>
  <c r="AF58" i="257"/>
  <c r="K58" i="258"/>
  <c r="N58" i="257"/>
  <c r="V58" i="258"/>
  <c r="AD58" i="257"/>
  <c r="V58" i="257"/>
  <c r="R58" i="258"/>
  <c r="N58" i="258"/>
  <c r="Q58" i="257"/>
  <c r="K51" i="258"/>
  <c r="Q10" i="259"/>
  <c r="N51" i="257"/>
  <c r="AH51" i="257"/>
  <c r="AD51" i="258"/>
  <c r="N51" i="258"/>
  <c r="Q13" i="259"/>
  <c r="Q51" i="257"/>
  <c r="Z45" i="258"/>
  <c r="AF45" i="257"/>
  <c r="K45" i="258"/>
  <c r="N45" i="257"/>
  <c r="V45" i="258"/>
  <c r="AD45" i="257"/>
  <c r="V45" i="257"/>
  <c r="R45" i="258"/>
  <c r="AG45" i="257"/>
  <c r="AC45" i="258"/>
  <c r="AD45" i="258"/>
  <c r="AH45" i="257"/>
  <c r="P45" i="257"/>
  <c r="M45" i="258"/>
  <c r="Q45" i="257"/>
  <c r="N45" i="258"/>
  <c r="K45" i="257"/>
  <c r="H45" i="258"/>
  <c r="AC33" i="258"/>
  <c r="K33" i="258"/>
  <c r="N33" i="257"/>
  <c r="V33" i="258"/>
  <c r="AD33" i="257"/>
  <c r="L33" i="257"/>
  <c r="I33" i="258"/>
  <c r="Q33" i="257"/>
  <c r="N33" i="258"/>
  <c r="R33" i="258"/>
  <c r="V33" i="257"/>
  <c r="O33" i="257"/>
  <c r="L33" i="258"/>
  <c r="Z28" i="258"/>
  <c r="AF28" i="257"/>
  <c r="K28" i="258"/>
  <c r="N28" i="257"/>
  <c r="Q28" i="257"/>
  <c r="N28" i="258"/>
  <c r="P28" i="258"/>
  <c r="T28" i="257"/>
  <c r="Q28" i="258"/>
  <c r="U28" i="257"/>
  <c r="AH28" i="257"/>
  <c r="AD28" i="258"/>
  <c r="AG28" i="257"/>
  <c r="AC28" i="258"/>
  <c r="K28" i="257"/>
  <c r="H28" i="258"/>
  <c r="L28" i="257"/>
  <c r="I28" i="258"/>
  <c r="Q6" i="257"/>
  <c r="N6" i="258"/>
  <c r="K6" i="257"/>
  <c r="H6" i="258"/>
  <c r="Z48" i="258"/>
  <c r="AF48" i="257"/>
  <c r="K48" i="258"/>
  <c r="N48" i="257"/>
  <c r="V48" i="258"/>
  <c r="AD48" i="257"/>
  <c r="AG48" i="257"/>
  <c r="AC48" i="258"/>
  <c r="P48" i="258"/>
  <c r="T48" i="257"/>
  <c r="R48" i="258"/>
  <c r="V48" i="257"/>
  <c r="AC47" i="258"/>
  <c r="N47" i="257"/>
  <c r="K47" i="258"/>
  <c r="AD47" i="258"/>
  <c r="AH47" i="257"/>
  <c r="Q47" i="257"/>
  <c r="N47" i="258"/>
  <c r="Z41" i="258"/>
  <c r="AF41" i="257"/>
  <c r="K41" i="258"/>
  <c r="N41" i="257"/>
  <c r="AD41" i="257"/>
  <c r="V41" i="258"/>
  <c r="N41" i="258"/>
  <c r="Q41" i="257"/>
  <c r="R41" i="258"/>
  <c r="V41" i="257"/>
  <c r="AH41" i="257"/>
  <c r="AD41" i="258"/>
  <c r="Z39" i="258"/>
  <c r="AF39" i="257"/>
  <c r="N39" i="257"/>
  <c r="K39" i="258"/>
  <c r="AD39" i="258"/>
  <c r="AH39" i="257"/>
  <c r="AC39" i="258"/>
  <c r="AG39" i="257"/>
  <c r="N39" i="258"/>
  <c r="Q39" i="257"/>
  <c r="O39" i="257"/>
  <c r="L39" i="258"/>
  <c r="AG27" i="257"/>
  <c r="AF27" i="257"/>
  <c r="Z27" i="258"/>
  <c r="N27" i="257"/>
  <c r="K27" i="258"/>
  <c r="N27" i="258"/>
  <c r="Q27" i="257"/>
  <c r="R27" i="258"/>
  <c r="V27" i="257"/>
  <c r="L27" i="258"/>
  <c r="O27" i="257"/>
  <c r="N7" i="257"/>
  <c r="K7" i="258"/>
  <c r="AH7" i="257"/>
  <c r="AD7" i="258"/>
  <c r="N7" i="258"/>
  <c r="Q7" i="257"/>
  <c r="L7" i="258"/>
  <c r="O7" i="257"/>
  <c r="Z19" i="258"/>
  <c r="T22" i="259"/>
  <c r="AF19" i="257"/>
  <c r="N19" i="257"/>
  <c r="K19" i="258"/>
  <c r="T10" i="259"/>
  <c r="AC19" i="258"/>
  <c r="T25" i="259"/>
  <c r="AG19" i="257"/>
  <c r="AD19" i="258"/>
  <c r="T26" i="259"/>
  <c r="AH19" i="257"/>
  <c r="R19" i="258"/>
  <c r="T16" i="259"/>
  <c r="V19" i="257"/>
  <c r="O19" i="257"/>
  <c r="L19" i="258"/>
  <c r="T11" i="259"/>
  <c r="N19" i="258"/>
  <c r="T13" i="259"/>
  <c r="Q19" i="257"/>
  <c r="Z18" i="258"/>
  <c r="AF18" i="257"/>
  <c r="N18" i="257"/>
  <c r="K18" i="258"/>
  <c r="AC18" i="258"/>
  <c r="AG18" i="257"/>
  <c r="AD18" i="258"/>
  <c r="AH18" i="257"/>
  <c r="R18" i="258"/>
  <c r="V18" i="257"/>
  <c r="N18" i="258"/>
  <c r="Q18" i="257"/>
  <c r="Z16" i="258"/>
  <c r="AF16" i="257"/>
  <c r="K16" i="258"/>
  <c r="N16" i="257"/>
  <c r="B16" i="257"/>
  <c r="AC16" i="258"/>
  <c r="AG16" i="257"/>
  <c r="N16" i="258"/>
  <c r="Q16" i="257"/>
  <c r="P16" i="257"/>
  <c r="M16" i="258"/>
  <c r="R16" i="258"/>
  <c r="V16" i="257"/>
  <c r="AD16" i="258"/>
  <c r="AH16" i="257"/>
  <c r="K16" i="257"/>
  <c r="H16" i="258"/>
  <c r="Z14" i="258"/>
  <c r="AF14" i="257"/>
  <c r="K14" i="258"/>
  <c r="N14" i="257"/>
  <c r="V14" i="258"/>
  <c r="AD14" i="257"/>
  <c r="Q14" i="257"/>
  <c r="N14" i="258"/>
  <c r="Z13" i="258"/>
  <c r="AF13" i="257"/>
  <c r="L13" i="258"/>
  <c r="K11" i="259"/>
  <c r="O13" i="257"/>
  <c r="Q13" i="257"/>
  <c r="N13" i="258"/>
  <c r="V13" i="257"/>
  <c r="R13" i="258"/>
  <c r="AG13" i="257"/>
  <c r="AC13" i="258"/>
  <c r="AF3" i="257"/>
  <c r="Z3" i="258"/>
  <c r="V3" i="258"/>
  <c r="AD3" i="257"/>
  <c r="C3" i="258"/>
  <c r="O35" i="259"/>
  <c r="E3" i="257"/>
  <c r="Q3" i="258"/>
  <c r="U3" i="257"/>
  <c r="N3" i="258"/>
  <c r="Q3" i="257"/>
  <c r="AC3" i="258"/>
  <c r="AG3" i="257"/>
  <c r="Z55" i="258"/>
  <c r="AF55" i="257"/>
  <c r="K55" i="258"/>
  <c r="N55" i="257"/>
  <c r="L55" i="258"/>
  <c r="O55" i="257"/>
  <c r="AC55" i="258"/>
  <c r="AG55" i="257"/>
  <c r="I55" i="258"/>
  <c r="L55" i="257"/>
  <c r="R55" i="258"/>
  <c r="V55" i="257"/>
  <c r="AD55" i="258"/>
  <c r="AH55" i="257"/>
  <c r="N55" i="258"/>
  <c r="Q55" i="257"/>
  <c r="Z50" i="258"/>
  <c r="AF50" i="257"/>
  <c r="K50" i="258"/>
  <c r="N50" i="257"/>
  <c r="V50" i="258"/>
  <c r="AD50" i="257"/>
  <c r="AC50" i="258"/>
  <c r="AG50" i="257"/>
  <c r="N50" i="258"/>
  <c r="Q50" i="257"/>
  <c r="P50" i="257"/>
  <c r="M50" i="258"/>
  <c r="R50" i="258"/>
  <c r="V50" i="257"/>
  <c r="AD50" i="258"/>
  <c r="AH50" i="257"/>
  <c r="K50" i="257"/>
  <c r="H50" i="258"/>
  <c r="Z43" i="258"/>
  <c r="AF43" i="257"/>
  <c r="K43" i="258"/>
  <c r="N43" i="257"/>
  <c r="AD43" i="257"/>
  <c r="V43" i="258"/>
  <c r="AD43" i="258"/>
  <c r="AH43" i="257"/>
  <c r="N43" i="258"/>
  <c r="Q43" i="257"/>
  <c r="L43" i="258"/>
  <c r="O43" i="257"/>
  <c r="V43" i="257"/>
  <c r="R43" i="258"/>
  <c r="Z32" i="258"/>
  <c r="H22" i="259"/>
  <c r="AF32" i="257"/>
  <c r="K32" i="258"/>
  <c r="H10" i="259"/>
  <c r="N32" i="257"/>
  <c r="N32" i="258"/>
  <c r="H13" i="259"/>
  <c r="Q32" i="257"/>
  <c r="V32" i="257"/>
  <c r="R32" i="258"/>
  <c r="H16" i="259"/>
  <c r="AD32" i="258"/>
  <c r="H26" i="259"/>
  <c r="AH32" i="257"/>
  <c r="L32" i="258"/>
  <c r="H11" i="259"/>
  <c r="O32" i="257"/>
  <c r="AC32" i="258"/>
  <c r="H25" i="259"/>
  <c r="AG32" i="257"/>
  <c r="AD20" i="257"/>
  <c r="V20" i="258"/>
  <c r="AD20" i="258"/>
  <c r="AH20" i="257"/>
  <c r="AC20" i="258"/>
  <c r="AG20" i="257"/>
  <c r="N20" i="258"/>
  <c r="Q20" i="257"/>
  <c r="L20" i="258"/>
  <c r="O20" i="257"/>
  <c r="R20" i="258"/>
  <c r="V20" i="257"/>
  <c r="AD17" i="258"/>
  <c r="AF17" i="257"/>
  <c r="Z17" i="258"/>
  <c r="K17" i="258"/>
  <c r="N17" i="257"/>
  <c r="P17" i="258"/>
  <c r="T17" i="257"/>
  <c r="AG17" i="257"/>
  <c r="AC17" i="258"/>
  <c r="Q17" i="257"/>
  <c r="N17" i="258"/>
  <c r="R17" i="258"/>
  <c r="V17" i="257"/>
  <c r="AF59" i="257"/>
  <c r="Z59" i="258"/>
  <c r="N59" i="257"/>
  <c r="K59" i="258"/>
  <c r="V59" i="258"/>
  <c r="AD59" i="257"/>
  <c r="N59" i="258"/>
  <c r="Q59" i="257"/>
  <c r="AH59" i="257"/>
  <c r="AD59" i="258"/>
  <c r="AG59" i="257"/>
  <c r="T59" i="257"/>
  <c r="P59" i="258"/>
  <c r="Z46" i="258"/>
  <c r="AF46" i="257"/>
  <c r="K46" i="258"/>
  <c r="N46" i="257"/>
  <c r="L46" i="257"/>
  <c r="V46" i="258"/>
  <c r="AD46" i="257"/>
  <c r="AD46" i="258"/>
  <c r="AH46" i="257"/>
  <c r="N46" i="258"/>
  <c r="Q46" i="257"/>
  <c r="AC46" i="258"/>
  <c r="AG46" i="257"/>
  <c r="Z40" i="258"/>
  <c r="AF40" i="257"/>
  <c r="K40" i="258"/>
  <c r="N40" i="257"/>
  <c r="V40" i="257"/>
  <c r="AD40" i="257"/>
  <c r="V40" i="258"/>
  <c r="AD40" i="258"/>
  <c r="AH40" i="257"/>
  <c r="N40" i="258"/>
  <c r="Q40" i="257"/>
  <c r="AC40" i="258"/>
  <c r="AG40" i="257"/>
  <c r="AF36" i="257"/>
  <c r="Z36" i="258"/>
  <c r="K36" i="258"/>
  <c r="N36" i="257"/>
  <c r="K36" i="257"/>
  <c r="V36" i="258"/>
  <c r="AD36" i="257"/>
  <c r="R36" i="258"/>
  <c r="V36" i="257"/>
  <c r="AC36" i="258"/>
  <c r="AG36" i="257"/>
  <c r="N36" i="258"/>
  <c r="Q36" i="257"/>
  <c r="AH36" i="257"/>
  <c r="AD36" i="258"/>
  <c r="L36" i="258"/>
  <c r="O36" i="257"/>
  <c r="AF25" i="257"/>
  <c r="Z25" i="258"/>
  <c r="N25" i="257"/>
  <c r="K25" i="258"/>
  <c r="AD25" i="257"/>
  <c r="V25" i="258"/>
  <c r="O25" i="257"/>
  <c r="L25" i="258"/>
  <c r="N25" i="258"/>
  <c r="Q25" i="257"/>
  <c r="AH25" i="257"/>
  <c r="AD25" i="258"/>
  <c r="K5" i="258"/>
  <c r="N5" i="257"/>
  <c r="AC5" i="258"/>
  <c r="AG5" i="257"/>
  <c r="L5" i="258"/>
  <c r="O5" i="257"/>
  <c r="AD5" i="258"/>
  <c r="AH5" i="257"/>
  <c r="N5" i="258"/>
  <c r="Q5" i="257"/>
  <c r="R5" i="258"/>
  <c r="V5" i="257"/>
  <c r="AF44" i="257"/>
  <c r="Z44" i="258"/>
  <c r="K44" i="258"/>
  <c r="N44" i="257"/>
  <c r="AH44" i="257"/>
  <c r="AD44" i="258"/>
  <c r="AG44" i="257"/>
  <c r="AC44" i="258"/>
  <c r="Q44" i="257"/>
  <c r="N44" i="258"/>
  <c r="Z31" i="258"/>
  <c r="AF31" i="257"/>
  <c r="K31" i="258"/>
  <c r="N31" i="257"/>
  <c r="V31" i="258"/>
  <c r="AD31" i="257"/>
  <c r="N31" i="258"/>
  <c r="Q31" i="257"/>
  <c r="V31" i="257"/>
  <c r="R31" i="258"/>
  <c r="AD31" i="258"/>
  <c r="AH31" i="257"/>
  <c r="AC31" i="258"/>
  <c r="AG31" i="257"/>
  <c r="L31" i="258"/>
  <c r="O31" i="257"/>
  <c r="AC30" i="258"/>
  <c r="AG30" i="257"/>
  <c r="K30" i="258"/>
  <c r="N30" i="257"/>
  <c r="H30" i="258"/>
  <c r="K30" i="257"/>
  <c r="V30" i="257"/>
  <c r="R30" i="258"/>
  <c r="AC30" i="257"/>
  <c r="L30" i="258"/>
  <c r="O30" i="257"/>
  <c r="AD30" i="258"/>
  <c r="AH30" i="257"/>
  <c r="N30" i="258"/>
  <c r="Q30" i="257"/>
  <c r="Z24" i="258"/>
  <c r="AF24" i="257"/>
  <c r="K24" i="258"/>
  <c r="N24" i="257"/>
  <c r="V24" i="258"/>
  <c r="AD24" i="257"/>
  <c r="AC24" i="258"/>
  <c r="AG24" i="257"/>
  <c r="N24" i="258"/>
  <c r="Q24" i="257"/>
  <c r="K24" i="257"/>
  <c r="H24" i="258"/>
  <c r="P24" i="257"/>
  <c r="M24" i="258"/>
  <c r="R24" i="258"/>
  <c r="V24" i="257"/>
  <c r="AD24" i="258"/>
  <c r="AH24" i="257"/>
  <c r="Z23" i="258"/>
  <c r="AF23" i="257"/>
  <c r="K23" i="258"/>
  <c r="N23" i="257"/>
  <c r="V23" i="258"/>
  <c r="AD23" i="257"/>
  <c r="N23" i="258"/>
  <c r="Q23" i="257"/>
  <c r="AD23" i="258"/>
  <c r="AH23" i="257"/>
  <c r="AG23" i="257"/>
  <c r="AC23" i="258"/>
  <c r="G23" i="258"/>
  <c r="J23" i="257"/>
  <c r="Z9" i="258"/>
  <c r="AF9" i="257"/>
  <c r="K9" i="258"/>
  <c r="N9" i="257"/>
  <c r="AG9" i="257"/>
  <c r="AC9" i="258"/>
  <c r="AD9" i="258"/>
  <c r="AH9" i="257"/>
  <c r="Q9" i="257"/>
  <c r="N9" i="258"/>
  <c r="P9" i="257"/>
  <c r="M9" i="258"/>
  <c r="AF60" i="257"/>
  <c r="Z60" i="258"/>
  <c r="E22" i="259"/>
  <c r="N60" i="257"/>
  <c r="K60" i="258"/>
  <c r="E10" i="259"/>
  <c r="AD60" i="257"/>
  <c r="V60" i="258"/>
  <c r="E19" i="259"/>
  <c r="AC60" i="258"/>
  <c r="E25" i="259"/>
  <c r="AG60" i="257"/>
  <c r="N60" i="258"/>
  <c r="E13" i="259"/>
  <c r="Q60" i="257"/>
  <c r="N56" i="257"/>
  <c r="K56" i="258"/>
  <c r="AH56" i="257"/>
  <c r="AD56" i="258"/>
  <c r="N56" i="258"/>
  <c r="Q56" i="257"/>
  <c r="O56" i="257"/>
  <c r="L56" i="258"/>
  <c r="K49" i="258"/>
  <c r="N49" i="257"/>
  <c r="AC49" i="257"/>
  <c r="U49" i="258"/>
  <c r="N49" i="258"/>
  <c r="Q49" i="257"/>
  <c r="AD49" i="258"/>
  <c r="AH49" i="257"/>
  <c r="AC49" i="258"/>
  <c r="AG49" i="257"/>
  <c r="AF38" i="257"/>
  <c r="Z38" i="258"/>
  <c r="K38" i="258"/>
  <c r="N38" i="257"/>
  <c r="V38" i="258"/>
  <c r="AD38" i="257"/>
  <c r="AH38" i="257"/>
  <c r="AD38" i="258"/>
  <c r="N38" i="258"/>
  <c r="Q38" i="257"/>
  <c r="AC38" i="258"/>
  <c r="AG38" i="257"/>
  <c r="R38" i="258"/>
  <c r="V38" i="257"/>
  <c r="L38" i="258"/>
  <c r="O38" i="257"/>
  <c r="AF35" i="257"/>
  <c r="Z35" i="258"/>
  <c r="N35" i="257"/>
  <c r="K35" i="258"/>
  <c r="AD35" i="257"/>
  <c r="V35" i="258"/>
  <c r="N35" i="258"/>
  <c r="Q35" i="257"/>
  <c r="AC35" i="258"/>
  <c r="AG35" i="257"/>
  <c r="O35" i="257"/>
  <c r="L35" i="258"/>
  <c r="AH35" i="257"/>
  <c r="AD35" i="258"/>
  <c r="R35" i="258"/>
  <c r="V35" i="257"/>
  <c r="AF34" i="257"/>
  <c r="Z34" i="258"/>
  <c r="N34" i="257"/>
  <c r="K34" i="258"/>
  <c r="K10" i="259"/>
  <c r="AD34" i="257"/>
  <c r="V34" i="258"/>
  <c r="K19" i="259"/>
  <c r="R34" i="258"/>
  <c r="V34" i="257"/>
  <c r="AC34" i="258"/>
  <c r="AG34" i="257"/>
  <c r="AH34" i="257"/>
  <c r="AD34" i="258"/>
  <c r="K26" i="259"/>
  <c r="N34" i="258"/>
  <c r="Q34" i="257"/>
  <c r="K22" i="259"/>
  <c r="K25" i="259"/>
  <c r="K13" i="259"/>
  <c r="K16" i="259"/>
  <c r="Q11" i="259"/>
  <c r="H38" i="259"/>
  <c r="N26" i="259"/>
  <c r="N10" i="259"/>
  <c r="N25" i="259"/>
  <c r="AG7" i="257"/>
  <c r="AH22" i="257"/>
  <c r="AD48" i="258"/>
  <c r="Q26" i="259"/>
  <c r="Q25" i="259"/>
  <c r="AG25" i="257"/>
  <c r="AG22" i="257"/>
  <c r="AH10" i="257"/>
  <c r="AH14" i="257"/>
  <c r="AG4" i="257"/>
  <c r="AD27" i="258"/>
  <c r="AG58" i="257"/>
  <c r="AD54" i="258"/>
  <c r="E37" i="259"/>
  <c r="AD58" i="258"/>
  <c r="AD33" i="258"/>
  <c r="AC2" i="258"/>
  <c r="O38" i="259"/>
  <c r="E39" i="259"/>
  <c r="E49" i="259"/>
  <c r="AH6" i="257"/>
  <c r="AH12" i="257"/>
  <c r="AH4" i="257"/>
  <c r="AG51" i="257"/>
  <c r="AH8" i="257"/>
  <c r="E40" i="259"/>
  <c r="E46" i="259"/>
  <c r="E35" i="259"/>
  <c r="E43" i="259"/>
  <c r="E51" i="259"/>
  <c r="H36" i="259"/>
  <c r="E57" i="259"/>
  <c r="H43" i="259"/>
  <c r="H51" i="259"/>
  <c r="O46" i="259"/>
  <c r="H35" i="259"/>
  <c r="H37" i="259"/>
  <c r="E36" i="259"/>
  <c r="E56" i="259"/>
  <c r="O45" i="259"/>
  <c r="H39" i="259"/>
  <c r="H49" i="259"/>
  <c r="O39" i="259"/>
  <c r="H40" i="259"/>
  <c r="H46" i="259"/>
  <c r="H42" i="259"/>
  <c r="E42" i="259"/>
  <c r="O43" i="259"/>
  <c r="L40" i="259"/>
  <c r="H41" i="259"/>
  <c r="H44" i="259"/>
  <c r="H47" i="259"/>
  <c r="H50" i="259"/>
  <c r="H52" i="259"/>
  <c r="H54" i="259"/>
  <c r="E41" i="259"/>
  <c r="O42" i="259"/>
  <c r="L39" i="259"/>
  <c r="E38" i="259"/>
  <c r="E59" i="259"/>
  <c r="E44" i="259"/>
  <c r="E47" i="259"/>
  <c r="E50" i="259"/>
  <c r="E52" i="259"/>
  <c r="E54" i="259"/>
  <c r="E61" i="259"/>
  <c r="E58" i="259"/>
  <c r="E60" i="259"/>
  <c r="L35" i="259"/>
  <c r="E63" i="259"/>
  <c r="O36" i="259"/>
  <c r="L36" i="259"/>
</calcChain>
</file>

<file path=xl/comments1.xml><?xml version="1.0" encoding="utf-8"?>
<comments xmlns="http://schemas.openxmlformats.org/spreadsheetml/2006/main">
  <authors>
    <author>Microsoft Office User</author>
  </authors>
  <commentList>
    <comment ref="A64" authorId="0">
      <text>
        <r>
          <rPr>
            <b/>
            <sz val="10"/>
            <color indexed="81"/>
            <rFont val="Calibri"/>
            <family val="2"/>
          </rPr>
          <t>Microsoft Office User:</t>
        </r>
        <r>
          <rPr>
            <sz val="10"/>
            <color indexed="81"/>
            <rFont val="Calibri"/>
            <family val="2"/>
          </rPr>
          <t xml:space="preserve">
DON'T PUT ANYTHING IN COLUMN A! UNDER PAIN OF DEATH!</t>
        </r>
      </text>
    </comment>
  </commentList>
</comments>
</file>

<file path=xl/sharedStrings.xml><?xml version="1.0" encoding="utf-8"?>
<sst xmlns="http://schemas.openxmlformats.org/spreadsheetml/2006/main" count="10202" uniqueCount="216">
  <si>
    <t>Data Entry</t>
  </si>
  <si>
    <t>Match #</t>
  </si>
  <si>
    <t>Expected Value</t>
  </si>
  <si>
    <t>Autonomous</t>
  </si>
  <si>
    <t>Boolean</t>
  </si>
  <si>
    <t>Int</t>
  </si>
  <si>
    <t>Ground</t>
  </si>
  <si>
    <t>Endgame</t>
  </si>
  <si>
    <t>Sum Totals</t>
  </si>
  <si>
    <t># Matches Played</t>
  </si>
  <si>
    <t>Auto Calculations</t>
  </si>
  <si>
    <t>Teleop Calculations</t>
  </si>
  <si>
    <t>Scoring</t>
  </si>
  <si>
    <t>End Game Calculations</t>
  </si>
  <si>
    <t>Mean</t>
  </si>
  <si>
    <t>Median</t>
  </si>
  <si>
    <t>Max</t>
  </si>
  <si>
    <t>StdDev</t>
  </si>
  <si>
    <t>Teams</t>
  </si>
  <si>
    <t>Cube Acquire</t>
  </si>
  <si>
    <t>Cubes Placed</t>
  </si>
  <si>
    <t>Scale Placement</t>
  </si>
  <si>
    <t>Scale Attempt</t>
  </si>
  <si>
    <t>Scale Placed</t>
  </si>
  <si>
    <t>Switch Placement</t>
  </si>
  <si>
    <t>Switch Attempt</t>
  </si>
  <si>
    <t>Switch Placed</t>
  </si>
  <si>
    <t>Exchange Attempt</t>
  </si>
  <si>
    <t>Exchange Placed</t>
  </si>
  <si>
    <t>Human Player</t>
  </si>
  <si>
    <t>Counterswitch Placed</t>
  </si>
  <si>
    <t>Park Attempt</t>
  </si>
  <si>
    <t>Park Score</t>
  </si>
  <si>
    <t>Climb Attempt</t>
  </si>
  <si>
    <t>Climb Scored</t>
  </si>
  <si>
    <t>Scale or Other Robot?</t>
  </si>
  <si>
    <t>Levitate</t>
  </si>
  <si>
    <t>Robots Supported</t>
  </si>
  <si>
    <t>Acquired</t>
  </si>
  <si>
    <t>% Success Park</t>
  </si>
  <si>
    <t>Park Frequency</t>
  </si>
  <si>
    <t>Scale % Success</t>
  </si>
  <si>
    <t>% Overall Success Climbing</t>
  </si>
  <si>
    <t>% Success Climb on Scale</t>
  </si>
  <si>
    <t>Overall Scale % Success</t>
  </si>
  <si>
    <t>Overall Switch % Success</t>
  </si>
  <si>
    <t>Overall Climb Frequency</t>
  </si>
  <si>
    <t>% Success Climb on Other Robot</t>
  </si>
  <si>
    <t>Direct Scale % Success</t>
  </si>
  <si>
    <t>Direct Switch % Success</t>
  </si>
  <si>
    <t>Robot Supported</t>
  </si>
  <si>
    <t>Indirect Scale % Success</t>
  </si>
  <si>
    <t>Indirect Switch % Success</t>
  </si>
  <si>
    <t>% Human Player</t>
  </si>
  <si>
    <t>Scale Frequency</t>
  </si>
  <si>
    <t>Switch Frequency</t>
  </si>
  <si>
    <t>% Ground</t>
  </si>
  <si>
    <t>Exchange % Success</t>
  </si>
  <si>
    <t>Switch % Success</t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</si>
  <si>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Scales Placed each Match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</si>
  <si>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Switches Placed Each Match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</si>
  <si>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Exchanges Placed each Match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</si>
  <si>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Counterswitches Placed each Match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</si>
  <si>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Cubes Acquired from Human Player</t>
    </r>
  </si>
  <si>
    <r>
      <rPr>
        <b/>
        <sz val="11"/>
        <color theme="1"/>
        <rFont val="Calibri"/>
        <family val="2"/>
        <scheme val="minor"/>
      </rPr>
      <t xml:space="preserve">Total </t>
    </r>
    <r>
      <rPr>
        <sz val="11"/>
        <color theme="1"/>
        <rFont val="Calibri"/>
        <family val="2"/>
        <scheme val="minor"/>
      </rPr>
      <t>Cubes Acquired from Ground</t>
    </r>
  </si>
  <si>
    <r>
      <rPr>
        <b/>
        <sz val="11"/>
        <color theme="1"/>
        <rFont val="Calibri"/>
        <family val="2"/>
        <scheme val="minor"/>
      </rPr>
      <t>Direct</t>
    </r>
    <r>
      <rPr>
        <sz val="11"/>
        <color theme="1"/>
        <rFont val="Calibri"/>
        <family val="2"/>
        <scheme val="minor"/>
      </rPr>
      <t xml:space="preserve"> Scale Attempted</t>
    </r>
  </si>
  <si>
    <r>
      <rPr>
        <b/>
        <sz val="11"/>
        <color theme="1"/>
        <rFont val="Calibri"/>
        <family val="2"/>
        <scheme val="minor"/>
      </rPr>
      <t xml:space="preserve">Direct </t>
    </r>
    <r>
      <rPr>
        <sz val="11"/>
        <color theme="1"/>
        <rFont val="Calibri"/>
        <family val="2"/>
        <scheme val="minor"/>
      </rPr>
      <t>Scale Placed</t>
    </r>
  </si>
  <si>
    <r>
      <rPr>
        <b/>
        <sz val="11"/>
        <color theme="1"/>
        <rFont val="Calibri"/>
        <family val="2"/>
        <scheme val="minor"/>
      </rPr>
      <t xml:space="preserve">Indirect </t>
    </r>
    <r>
      <rPr>
        <sz val="11"/>
        <color theme="1"/>
        <rFont val="Calibri"/>
        <family val="2"/>
        <scheme val="minor"/>
      </rPr>
      <t>Scale Attempted</t>
    </r>
  </si>
  <si>
    <r>
      <rPr>
        <b/>
        <sz val="11"/>
        <color theme="1"/>
        <rFont val="Calibri"/>
        <family val="2"/>
        <scheme val="minor"/>
      </rPr>
      <t>Indirect</t>
    </r>
    <r>
      <rPr>
        <sz val="11"/>
        <color theme="1"/>
        <rFont val="Calibri"/>
        <family val="2"/>
        <scheme val="minor"/>
      </rPr>
      <t xml:space="preserve"> Scale Placed</t>
    </r>
  </si>
  <si>
    <r>
      <rPr>
        <b/>
        <sz val="11"/>
        <color theme="1"/>
        <rFont val="Calibri"/>
        <family val="2"/>
        <scheme val="minor"/>
      </rPr>
      <t xml:space="preserve">Direct </t>
    </r>
    <r>
      <rPr>
        <sz val="11"/>
        <color theme="1"/>
        <rFont val="Calibri"/>
        <family val="2"/>
        <scheme val="minor"/>
      </rPr>
      <t>Switch Attempted</t>
    </r>
  </si>
  <si>
    <r>
      <rPr>
        <b/>
        <sz val="11"/>
        <color theme="1"/>
        <rFont val="Calibri"/>
        <family val="2"/>
        <scheme val="minor"/>
      </rPr>
      <t xml:space="preserve">Direct </t>
    </r>
    <r>
      <rPr>
        <sz val="11"/>
        <color theme="1"/>
        <rFont val="Calibri"/>
        <family val="2"/>
        <scheme val="minor"/>
      </rPr>
      <t>Switch Placed</t>
    </r>
  </si>
  <si>
    <r>
      <rPr>
        <b/>
        <sz val="11"/>
        <color theme="1"/>
        <rFont val="Calibri"/>
        <family val="2"/>
        <scheme val="minor"/>
      </rPr>
      <t xml:space="preserve">Indirect </t>
    </r>
    <r>
      <rPr>
        <sz val="11"/>
        <color theme="1"/>
        <rFont val="Calibri"/>
        <family val="2"/>
        <scheme val="minor"/>
      </rPr>
      <t>Switch Attempted</t>
    </r>
  </si>
  <si>
    <r>
      <rPr>
        <b/>
        <sz val="11"/>
        <color theme="1"/>
        <rFont val="Calibri"/>
        <family val="2"/>
        <scheme val="minor"/>
      </rPr>
      <t xml:space="preserve">Indirect </t>
    </r>
    <r>
      <rPr>
        <sz val="11"/>
        <color theme="1"/>
        <rFont val="Calibri"/>
        <family val="2"/>
        <scheme val="minor"/>
      </rPr>
      <t>Switch Placed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</si>
  <si>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Attempted Climbs on Scale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</si>
  <si>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Scored Climbs on Scale</t>
    </r>
  </si>
  <si>
    <r>
      <rPr>
        <b/>
        <sz val="11"/>
        <color theme="1"/>
        <rFont val="Calibri"/>
        <family val="2"/>
        <scheme val="minor"/>
      </rPr>
      <t xml:space="preserve">Total </t>
    </r>
    <r>
      <rPr>
        <sz val="11"/>
        <color theme="1"/>
        <rFont val="Calibri"/>
        <family val="2"/>
        <scheme val="minor"/>
      </rPr>
      <t>Attempted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Climbs on Other Robot</t>
    </r>
  </si>
  <si>
    <r>
      <rPr>
        <b/>
        <sz val="11"/>
        <color theme="1"/>
        <rFont val="Calibri"/>
        <family val="2"/>
        <scheme val="minor"/>
      </rPr>
      <t xml:space="preserve">Total </t>
    </r>
    <r>
      <rPr>
        <sz val="11"/>
        <color theme="1"/>
        <rFont val="Calibri"/>
        <family val="2"/>
        <scheme val="minor"/>
      </rPr>
      <t>Scored Climbs on Other Robot</t>
    </r>
  </si>
  <si>
    <t>/d, i</t>
  </si>
  <si>
    <t>/s, o</t>
  </si>
  <si>
    <t>Auto Scale Success</t>
  </si>
  <si>
    <t>Auto Switch Success</t>
  </si>
  <si>
    <t>%SuccessScale</t>
  </si>
  <si>
    <t>Scale Mean</t>
  </si>
  <si>
    <t>Scale Max</t>
  </si>
  <si>
    <t>Scale StdDev</t>
  </si>
  <si>
    <t>%SuccessSwitch</t>
  </si>
  <si>
    <t>Switch Mean</t>
  </si>
  <si>
    <t>Switch Max</t>
  </si>
  <si>
    <t>Switch StdDev</t>
  </si>
  <si>
    <t>Exchange Mean</t>
  </si>
  <si>
    <t>Exchange Max</t>
  </si>
  <si>
    <t>Exchange StdDev</t>
  </si>
  <si>
    <t>%OverallSuccessClimb</t>
  </si>
  <si>
    <t>%SuccessClimbScale</t>
  </si>
  <si>
    <t>%SuccessClimbOtherRobot</t>
  </si>
  <si>
    <t>Counterswitch Max</t>
  </si>
  <si>
    <t>%SuccessPark</t>
  </si>
  <si>
    <t>Robots Supported Mean</t>
  </si>
  <si>
    <t>Robots Supported Max</t>
  </si>
  <si>
    <t>Data Table</t>
  </si>
  <si>
    <t>Ally 1:</t>
  </si>
  <si>
    <t># Parks</t>
  </si>
  <si>
    <t># Overall Climbs</t>
  </si>
  <si>
    <t># Levitates</t>
  </si>
  <si>
    <t>% Success Scale</t>
  </si>
  <si>
    <t>% Success Switch</t>
  </si>
  <si>
    <t>% Overall Success Climb</t>
  </si>
  <si>
    <t>% Success Climb Scale</t>
  </si>
  <si>
    <t>% Success Climb Other Robot</t>
  </si>
  <si>
    <t>Robot Supported Max</t>
  </si>
  <si>
    <t>Auto</t>
  </si>
  <si>
    <t>Scale</t>
  </si>
  <si>
    <t>Switch</t>
  </si>
  <si>
    <t>Exchange</t>
  </si>
  <si>
    <t>Counterswitch</t>
  </si>
  <si>
    <t>Acquire</t>
  </si>
  <si>
    <t>Ally 2:</t>
  </si>
  <si>
    <t>Ally 3:</t>
  </si>
  <si>
    <t>Opponent 1:</t>
  </si>
  <si>
    <t>Opponent 2:</t>
  </si>
  <si>
    <t>Opponent 3:</t>
  </si>
  <si>
    <t>Alliance Calculations</t>
  </si>
  <si>
    <t>Auto Scale</t>
  </si>
  <si>
    <t>Auto Switch</t>
  </si>
  <si>
    <t>Teleop Switch</t>
  </si>
  <si>
    <t>Teleop Scale</t>
  </si>
  <si>
    <t>Greatest Preference HP</t>
  </si>
  <si>
    <t>Greatest Preference Ground</t>
  </si>
  <si>
    <t>Parks</t>
  </si>
  <si>
    <t>Scale Climbs</t>
  </si>
  <si>
    <t>Supported Climbs</t>
  </si>
  <si>
    <t>Ally</t>
  </si>
  <si>
    <t>Levitate Climbs</t>
  </si>
  <si>
    <t>Total Climbs</t>
  </si>
  <si>
    <t>Opponent</t>
  </si>
  <si>
    <t>Point Calculations (without scale/switch)</t>
  </si>
  <si>
    <t>Exchange Points</t>
  </si>
  <si>
    <t>Climb Points</t>
  </si>
  <si>
    <t>Park Points</t>
  </si>
  <si>
    <t>Endgame Factor</t>
  </si>
  <si>
    <t>Total</t>
  </si>
  <si>
    <t>Scale/Switch Winner</t>
  </si>
  <si>
    <t>Ally Switch</t>
  </si>
  <si>
    <t>Opponent Switch</t>
  </si>
  <si>
    <t>Auto Ally Switch</t>
  </si>
  <si>
    <t>Auto Opponent Switch</t>
  </si>
  <si>
    <t>Winner</t>
  </si>
  <si>
    <t>Auto Quest Probability (assuming they get auto runs)</t>
  </si>
  <si>
    <t>Probabilistic Modeling: Auto Switch</t>
  </si>
  <si>
    <t>Ally Xbar</t>
  </si>
  <si>
    <t>Opponent Xbar</t>
  </si>
  <si>
    <t>Ally SE</t>
  </si>
  <si>
    <t>Matches Played</t>
  </si>
  <si>
    <r>
      <t xml:space="preserve">Auto </t>
    </r>
    <r>
      <rPr>
        <sz val="11"/>
        <color theme="1"/>
        <rFont val="Calibri"/>
        <family val="2"/>
        <scheme val="minor"/>
      </rPr>
      <t>Switch</t>
    </r>
  </si>
  <si>
    <t>Auto Switch StdDev</t>
  </si>
  <si>
    <t>Opponent SE</t>
  </si>
  <si>
    <t>Face the Boss Probability</t>
  </si>
  <si>
    <t>Probabilistic Modeling: Climb</t>
  </si>
  <si>
    <r>
      <t>Overall</t>
    </r>
    <r>
      <rPr>
        <sz val="11"/>
        <color theme="1"/>
        <rFont val="Calibri"/>
        <family val="2"/>
        <scheme val="minor"/>
      </rPr>
      <t xml:space="preserve"> Climbs</t>
    </r>
  </si>
  <si>
    <t>Overall Climb StdDev</t>
  </si>
  <si>
    <t>Mean Cubes Scored per Match</t>
  </si>
  <si>
    <r>
      <t>Cubes</t>
    </r>
    <r>
      <rPr>
        <sz val="11"/>
        <color theme="1"/>
        <rFont val="Calibri"/>
        <family val="2"/>
        <scheme val="minor"/>
      </rPr>
      <t xml:space="preserve"> Scored per Match</t>
    </r>
  </si>
  <si>
    <t>Auto Scale Frequency</t>
  </si>
  <si>
    <t>Auto Switch Frequency</t>
  </si>
  <si>
    <t>Position 3?</t>
  </si>
  <si>
    <r>
      <rPr>
        <b/>
        <sz val="11"/>
        <color theme="1"/>
        <rFont val="Calibri"/>
        <family val="2"/>
        <scheme val="minor"/>
      </rPr>
      <t xml:space="preserve">Total </t>
    </r>
    <r>
      <rPr>
        <sz val="11"/>
        <color theme="1"/>
        <rFont val="Calibri"/>
        <family val="2"/>
        <scheme val="minor"/>
      </rPr>
      <t>Exchanges Attempted each Match</t>
    </r>
  </si>
  <si>
    <r>
      <t xml:space="preserve">Total </t>
    </r>
    <r>
      <rPr>
        <sz val="11"/>
        <color theme="1"/>
        <rFont val="Calibri"/>
        <family val="2"/>
        <scheme val="minor"/>
      </rPr>
      <t>Exchanges Placed each Match</t>
    </r>
  </si>
  <si>
    <t>Pos. 3 Exchange % Success</t>
  </si>
  <si>
    <t>Sum</t>
  </si>
  <si>
    <t>Pos. 3 Exchange Placed</t>
  </si>
  <si>
    <t>% Success Exchange</t>
  </si>
  <si>
    <t>% Success Pos. 3 Exchange</t>
  </si>
  <si>
    <t>Pos. 3 Exchange Mean</t>
  </si>
  <si>
    <t>Pos. 3 Exchange Max</t>
  </si>
  <si>
    <t>Pos. 3 Exchange StdDev</t>
  </si>
  <si>
    <r>
      <t xml:space="preserve">2 </t>
    </r>
    <r>
      <rPr>
        <sz val="11"/>
        <color theme="1"/>
        <rFont val="Calibri"/>
        <family val="2"/>
        <scheme val="minor"/>
      </rPr>
      <t>Cube Auto Switch Success</t>
    </r>
  </si>
  <si>
    <r>
      <t xml:space="preserve">2 </t>
    </r>
    <r>
      <rPr>
        <sz val="11"/>
        <color theme="1"/>
        <rFont val="Calibri"/>
        <family val="2"/>
        <scheme val="minor"/>
      </rPr>
      <t>Cube Auto Scale Success</t>
    </r>
  </si>
  <si>
    <r>
      <t xml:space="preserve">2 </t>
    </r>
    <r>
      <rPr>
        <sz val="11"/>
        <color theme="1"/>
        <rFont val="Calibri"/>
        <family val="2"/>
        <scheme val="minor"/>
      </rPr>
      <t>Cube Auto Scale Attempt</t>
    </r>
  </si>
  <si>
    <r>
      <t>2</t>
    </r>
    <r>
      <rPr>
        <sz val="11"/>
        <color theme="1"/>
        <rFont val="Calibri"/>
        <family val="2"/>
        <scheme val="minor"/>
      </rPr>
      <t xml:space="preserve"> Cube Auto Switch Attempt</t>
    </r>
  </si>
  <si>
    <t>2 Cube Scale % Success</t>
  </si>
  <si>
    <t>2 Cube Switch % Success</t>
  </si>
  <si>
    <t>2 Cube Auto Switch Success</t>
  </si>
  <si>
    <t>2 Cube Auto Scale Success</t>
  </si>
  <si>
    <t>Set Up</t>
  </si>
  <si>
    <t>Team #</t>
  </si>
  <si>
    <t>d</t>
  </si>
  <si>
    <t>s</t>
  </si>
  <si>
    <t>/Scale or Other Robot?</t>
  </si>
  <si>
    <t>i</t>
  </si>
  <si>
    <t>o</t>
  </si>
  <si>
    <t>*225 tried 3 cube auto</t>
  </si>
  <si>
    <t>D</t>
  </si>
  <si>
    <t>B</t>
  </si>
  <si>
    <t>J</t>
  </si>
  <si>
    <t>K</t>
  </si>
  <si>
    <t>%Success Scale</t>
  </si>
  <si>
    <t>I</t>
  </si>
  <si>
    <t>%Success Climb</t>
  </si>
  <si>
    <t>AF</t>
  </si>
  <si>
    <t>%Success Exchange</t>
  </si>
  <si>
    <t>%Success Switch</t>
  </si>
  <si>
    <t>T</t>
  </si>
  <si>
    <t>S</t>
  </si>
  <si>
    <t>U</t>
  </si>
  <si>
    <t>G</t>
  </si>
  <si>
    <t>E</t>
  </si>
  <si>
    <t>O</t>
  </si>
  <si>
    <t>N</t>
  </si>
  <si>
    <t>P</t>
  </si>
  <si>
    <t>*1640 tried 3 cube auto</t>
  </si>
  <si>
    <t>C</t>
  </si>
  <si>
    <t>AI</t>
  </si>
  <si>
    <t>F</t>
  </si>
  <si>
    <t>exchange</t>
  </si>
  <si>
    <t>switch</t>
  </si>
  <si>
    <t>Defense teams: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</si>
</sst>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1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System Font"/>
      <charset val="1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rgb="FFFF0000"/>
      </patternFill>
    </fill>
    <fill>
      <patternFill patternType="solid">
        <fgColor theme="4"/>
      </patternFill>
    </fill>
    <fill>
      <patternFill patternType="solid">
        <fgColor rgb="FF0070C0"/>
      </patternFill>
    </fill>
    <fill>
      <patternFill patternType="solid">
        <fgColor rgb="FF4A80B2"/>
      </patternFill>
    </fill>
    <fill>
      <patternFill patternType="solid">
        <fgColor rgb="FFFFC000"/>
      </patternFill>
    </fill>
    <fill>
      <patternFill patternType="solid">
        <fgColor rgb="FF7030A0"/>
      </patternFill>
    </fill>
    <fill>
      <patternFill patternType="solid">
        <fgColor rgb="FF9640D8"/>
      </patternFill>
    </fill>
    <fill>
      <patternFill patternType="solid">
        <fgColor theme="1"/>
      </patternFill>
    </fill>
    <fill>
      <patternFill patternType="solid">
        <fgColor rgb="FFA070D7"/>
      </patternFill>
    </fill>
    <fill>
      <patternFill patternType="solid">
        <fgColor rgb="FFFFC000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A070D7"/>
        <bgColor indexed="64"/>
      </patternFill>
    </fill>
    <fill>
      <patternFill patternType="solid">
        <fgColor rgb="FFA070D7"/>
        <bgColor rgb="FF000000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4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3" fillId="2" borderId="1" applyNumberFormat="0" applyAlignment="0" applyProtection="0"/>
    <xf numFmtId="0" fontId="17" fillId="4" borderId="1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6" fillId="5" borderId="0" applyBorder="0"/>
    <xf numFmtId="0" fontId="6" fillId="7" borderId="0" applyBorder="0"/>
    <xf numFmtId="0" fontId="6" fillId="6" borderId="0" applyBorder="0"/>
    <xf numFmtId="0" fontId="6" fillId="8" borderId="0" applyBorder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6" fillId="9" borderId="3" applyBorder="0"/>
    <xf numFmtId="0" fontId="5" fillId="10" borderId="3" applyBorder="0"/>
    <xf numFmtId="0" fontId="5" fillId="11" borderId="3" applyBorder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0" fillId="12" borderId="3"/>
    <xf numFmtId="0" fontId="4" fillId="13" borderId="3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9" borderId="0"/>
    <xf numFmtId="0" fontId="3" fillId="13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0" fontId="7" fillId="0" borderId="0" xfId="0" applyFont="1"/>
    <xf numFmtId="0" fontId="0" fillId="0" borderId="0" xfId="0" applyNumberFormat="1"/>
    <xf numFmtId="0" fontId="12" fillId="0" borderId="0" xfId="0" applyFont="1"/>
    <xf numFmtId="0" fontId="7" fillId="0" borderId="2" xfId="0" applyFont="1" applyBorder="1"/>
    <xf numFmtId="0" fontId="0" fillId="0" borderId="2" xfId="0" applyBorder="1"/>
    <xf numFmtId="0" fontId="0" fillId="0" borderId="0" xfId="0" applyBorder="1"/>
    <xf numFmtId="0" fontId="0" fillId="0" borderId="0" xfId="0" applyFont="1" applyBorder="1"/>
    <xf numFmtId="0" fontId="7" fillId="3" borderId="2" xfId="0" applyFont="1" applyFill="1" applyBorder="1"/>
    <xf numFmtId="0" fontId="0" fillId="0" borderId="2" xfId="0" quotePrefix="1" applyBorder="1"/>
    <xf numFmtId="0" fontId="18" fillId="0" borderId="0" xfId="0" applyFont="1"/>
    <xf numFmtId="0" fontId="17" fillId="4" borderId="4" xfId="30" applyFont="1" applyBorder="1"/>
    <xf numFmtId="0" fontId="13" fillId="2" borderId="4" xfId="29" applyBorder="1"/>
    <xf numFmtId="0" fontId="4" fillId="9" borderId="3" xfId="47" applyFont="1" applyBorder="1"/>
    <xf numFmtId="0" fontId="4" fillId="9" borderId="0" xfId="47" applyFont="1" applyBorder="1"/>
    <xf numFmtId="0" fontId="4" fillId="9" borderId="5" xfId="47" applyFont="1" applyBorder="1"/>
    <xf numFmtId="0" fontId="3" fillId="9" borderId="0" xfId="47" applyFont="1" applyBorder="1"/>
    <xf numFmtId="0" fontId="16" fillId="9" borderId="3" xfId="47" applyBorder="1"/>
    <xf numFmtId="0" fontId="17" fillId="4" borderId="6" xfId="30" applyFont="1" applyBorder="1"/>
    <xf numFmtId="0" fontId="17" fillId="4" borderId="7" xfId="30" applyFont="1" applyBorder="1"/>
    <xf numFmtId="0" fontId="17" fillId="4" borderId="4" xfId="30" applyBorder="1"/>
    <xf numFmtId="0" fontId="2" fillId="9" borderId="0" xfId="47" applyFont="1" applyBorder="1"/>
    <xf numFmtId="0" fontId="1" fillId="9" borderId="0" xfId="47" applyFont="1" applyBorder="1"/>
    <xf numFmtId="0" fontId="1" fillId="9" borderId="3" xfId="47" applyFont="1" applyBorder="1"/>
    <xf numFmtId="0" fontId="4" fillId="0" borderId="0" xfId="47" applyFont="1" applyFill="1" applyBorder="1"/>
    <xf numFmtId="0" fontId="17" fillId="0" borderId="0" xfId="30" applyFont="1" applyFill="1" applyBorder="1"/>
    <xf numFmtId="0" fontId="21" fillId="14" borderId="3" xfId="0" applyFont="1" applyFill="1" applyBorder="1"/>
    <xf numFmtId="0" fontId="13" fillId="15" borderId="4" xfId="0" applyFont="1" applyFill="1" applyBorder="1"/>
    <xf numFmtId="0" fontId="21" fillId="14" borderId="0" xfId="0" applyFont="1" applyFill="1"/>
    <xf numFmtId="0" fontId="11" fillId="14" borderId="3" xfId="0" applyFont="1" applyFill="1" applyBorder="1"/>
    <xf numFmtId="0" fontId="3" fillId="0" borderId="0" xfId="69" applyFill="1" applyBorder="1"/>
    <xf numFmtId="0" fontId="0" fillId="0" borderId="0" xfId="0" applyFill="1" applyBorder="1"/>
    <xf numFmtId="0" fontId="1" fillId="16" borderId="3" xfId="47" applyFont="1" applyFill="1" applyBorder="1"/>
    <xf numFmtId="0" fontId="4" fillId="16" borderId="0" xfId="47" applyFont="1" applyFill="1" applyBorder="1"/>
    <xf numFmtId="0" fontId="16" fillId="16" borderId="3" xfId="47" applyFill="1" applyBorder="1"/>
    <xf numFmtId="0" fontId="1" fillId="16" borderId="0" xfId="47" applyFont="1" applyFill="1" applyBorder="1"/>
    <xf numFmtId="0" fontId="4" fillId="16" borderId="3" xfId="47" applyFont="1" applyFill="1" applyBorder="1"/>
    <xf numFmtId="0" fontId="4" fillId="16" borderId="5" xfId="47" applyFont="1" applyFill="1" applyBorder="1"/>
    <xf numFmtId="0" fontId="2" fillId="16" borderId="0" xfId="47" applyFont="1" applyFill="1" applyBorder="1"/>
    <xf numFmtId="0" fontId="3" fillId="16" borderId="0" xfId="47" applyFont="1" applyFill="1" applyBorder="1"/>
    <xf numFmtId="0" fontId="21" fillId="17" borderId="3" xfId="0" applyFont="1" applyFill="1" applyBorder="1"/>
    <xf numFmtId="0" fontId="21" fillId="17" borderId="0" xfId="0" applyFont="1" applyFill="1"/>
    <xf numFmtId="0" fontId="11" fillId="17" borderId="3" xfId="0" applyFont="1" applyFill="1" applyBorder="1"/>
    <xf numFmtId="0" fontId="0" fillId="0" borderId="0" xfId="0" applyFill="1"/>
    <xf numFmtId="0" fontId="0" fillId="0" borderId="0" xfId="0" applyFont="1"/>
    <xf numFmtId="0" fontId="7" fillId="0" borderId="8" xfId="0" applyFont="1" applyFill="1" applyBorder="1"/>
    <xf numFmtId="0" fontId="7" fillId="0" borderId="2" xfId="0" applyFont="1" applyFill="1" applyBorder="1"/>
    <xf numFmtId="0" fontId="0" fillId="0" borderId="0" xfId="0" applyFont="1" applyFill="1"/>
    <xf numFmtId="0" fontId="0" fillId="0" borderId="2" xfId="0" applyFill="1" applyBorder="1"/>
    <xf numFmtId="0" fontId="7" fillId="18" borderId="2" xfId="0" applyFont="1" applyFill="1" applyBorder="1"/>
    <xf numFmtId="0" fontId="7" fillId="0" borderId="0" xfId="0" applyFont="1" applyBorder="1"/>
    <xf numFmtId="0" fontId="7" fillId="0" borderId="0" xfId="0" applyFont="1" applyFill="1" applyBorder="1"/>
  </cellXfs>
  <cellStyles count="74">
    <cellStyle name="Calculation" xfId="30" builtinId="22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4" builtinId="9" hidden="1"/>
    <cellStyle name="Followed Hyperlink" xfId="46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71" builtinId="9" hidden="1"/>
    <cellStyle name="Followed Hyperlink" xfId="7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43" builtinId="8" hidden="1"/>
    <cellStyle name="Hyperlink" xfId="45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70" builtinId="8" hidden="1"/>
    <cellStyle name="Hyperlink" xfId="72" builtinId="8" hidden="1"/>
    <cellStyle name="Input" xfId="29" builtinId="20"/>
    <cellStyle name="Normal" xfId="0" builtinId="0"/>
    <cellStyle name="Style 1" xfId="39"/>
    <cellStyle name="Style 10" xfId="68"/>
    <cellStyle name="Style 11" xfId="69"/>
    <cellStyle name="Style 2" xfId="40"/>
    <cellStyle name="Style 3" xfId="41"/>
    <cellStyle name="Style 4" xfId="42"/>
    <cellStyle name="Style 5" xfId="47"/>
    <cellStyle name="Style 6" xfId="48"/>
    <cellStyle name="Style 7" xfId="49"/>
    <cellStyle name="Style 8" xfId="58"/>
    <cellStyle name="Style 9" xfId="59"/>
  </cellStyles>
  <dxfs count="0"/>
  <tableStyles count="0" defaultTableStyle="TableStyleMedium2" defaultPivotStyle="PivotStyleLight16"/>
  <colors>
    <mruColors>
      <color rgb="FFA070D7"/>
      <color rgb="FF4A80B2"/>
      <color rgb="FF9640D8"/>
      <color rgb="FFD6D5DF"/>
      <color rgb="FF9100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worksheet" Target="worksheets/sheet63.xml"/><Relationship Id="rId64" Type="http://schemas.openxmlformats.org/officeDocument/2006/relationships/worksheet" Target="worksheets/sheet64.xml"/><Relationship Id="rId65" Type="http://schemas.openxmlformats.org/officeDocument/2006/relationships/theme" Target="theme/theme1.xml"/><Relationship Id="rId66" Type="http://schemas.openxmlformats.org/officeDocument/2006/relationships/styles" Target="styles.xml"/><Relationship Id="rId67" Type="http://schemas.openxmlformats.org/officeDocument/2006/relationships/sharedStrings" Target="sharedStrings.xml"/><Relationship Id="rId68" Type="http://schemas.openxmlformats.org/officeDocument/2006/relationships/calcChain" Target="calcChain.xml"/><Relationship Id="rId69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35</xdr:row>
          <xdr:rowOff>88900</xdr:rowOff>
        </xdr:from>
        <xdr:to>
          <xdr:col>1</xdr:col>
          <xdr:colOff>304800</xdr:colOff>
          <xdr:row>40</xdr:row>
          <xdr:rowOff>88900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=""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Ally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Button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38</xdr:row>
          <xdr:rowOff>12700</xdr:rowOff>
        </xdr:from>
        <xdr:to>
          <xdr:col>9</xdr:col>
          <xdr:colOff>927100</xdr:colOff>
          <xdr:row>42</xdr:row>
          <xdr:rowOff>165100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=""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Opponent Button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62</xdr:row>
          <xdr:rowOff>88900</xdr:rowOff>
        </xdr:from>
        <xdr:to>
          <xdr:col>2</xdr:col>
          <xdr:colOff>812800</xdr:colOff>
          <xdr:row>65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=""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Approximate picklist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1117600</xdr:colOff>
          <xdr:row>62</xdr:row>
          <xdr:rowOff>88900</xdr:rowOff>
        </xdr:from>
        <xdr:to>
          <xdr:col>4</xdr:col>
          <xdr:colOff>914400</xdr:colOff>
          <xdr:row>65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T score for one variable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17</xdr:row>
          <xdr:rowOff>0</xdr:rowOff>
        </xdr:from>
        <xdr:to>
          <xdr:col>4</xdr:col>
          <xdr:colOff>762000</xdr:colOff>
          <xdr:row>21</xdr:row>
          <xdr:rowOff>177800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="" xmlns:a16="http://schemas.microsoft.com/office/drawing/2014/main" id="{00000000-0008-0000-03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17</xdr:row>
          <xdr:rowOff>0</xdr:rowOff>
        </xdr:from>
        <xdr:to>
          <xdr:col>7</xdr:col>
          <xdr:colOff>685800</xdr:colOff>
          <xdr:row>22</xdr:row>
          <xdr:rowOff>12700</xdr:rowOff>
        </xdr:to>
        <xdr:sp macro="" textlink="">
          <xdr:nvSpPr>
            <xdr:cNvPr id="131074" name="Button 2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="" xmlns:a16="http://schemas.microsoft.com/office/drawing/2014/main" id="{00000000-0008-0000-03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T63"/>
  <sheetViews>
    <sheetView workbookViewId="0">
      <selection activeCell="C11" sqref="C11"/>
    </sheetView>
  </sheetViews>
  <sheetFormatPr baseColWidth="10" defaultColWidth="11.5" defaultRowHeight="15" x14ac:dyDescent="0.2"/>
  <cols>
    <col min="3" max="3" width="9.83203125" customWidth="1"/>
    <col min="4" max="4" width="24.6640625" customWidth="1"/>
    <col min="7" max="7" width="24.6640625" customWidth="1"/>
    <col min="10" max="10" width="24.6640625" customWidth="1"/>
    <col min="13" max="13" width="24.33203125" customWidth="1"/>
    <col min="16" max="16" width="24.33203125" customWidth="1"/>
    <col min="19" max="19" width="25" customWidth="1"/>
  </cols>
  <sheetData>
    <row r="1" spans="1:20" x14ac:dyDescent="0.2">
      <c r="A1" s="1" t="s">
        <v>99</v>
      </c>
      <c r="B1" s="50"/>
    </row>
    <row r="2" spans="1:20" ht="16" x14ac:dyDescent="0.2">
      <c r="B2" s="50"/>
      <c r="D2" s="13" t="s">
        <v>100</v>
      </c>
      <c r="E2" s="12">
        <v>2590</v>
      </c>
      <c r="G2" s="23" t="s">
        <v>116</v>
      </c>
      <c r="H2" s="12">
        <v>3314</v>
      </c>
      <c r="J2" s="26" t="s">
        <v>117</v>
      </c>
      <c r="K2" s="27">
        <v>1676</v>
      </c>
      <c r="M2" s="32" t="s">
        <v>118</v>
      </c>
      <c r="N2" s="12">
        <v>25</v>
      </c>
      <c r="P2" s="32" t="s">
        <v>119</v>
      </c>
      <c r="Q2" s="12">
        <v>1640</v>
      </c>
      <c r="S2" s="40" t="s">
        <v>120</v>
      </c>
      <c r="T2" s="27">
        <v>1089</v>
      </c>
    </row>
    <row r="3" spans="1:20" ht="16" x14ac:dyDescent="0.2">
      <c r="A3" s="10" t="s">
        <v>110</v>
      </c>
      <c r="B3" s="50"/>
      <c r="D3" s="14" t="s">
        <v>79</v>
      </c>
      <c r="E3" s="11">
        <f>IFERROR(VLOOKUP(E$2, 'Summary Statistics'!$A$2:$AI$61, 2, FALSE), 0)</f>
        <v>0.75</v>
      </c>
      <c r="G3" s="14" t="s">
        <v>79</v>
      </c>
      <c r="H3" s="11">
        <f>IFERROR(VLOOKUP(H$2, 'Summary Statistics'!$A$2:$AI$61, 2, FALSE), 0)</f>
        <v>1</v>
      </c>
      <c r="J3" s="28" t="s">
        <v>79</v>
      </c>
      <c r="K3" s="11">
        <f>IFERROR(VLOOKUP(K$2, 'Summary Statistics'!$A$2:$AI$61, 2, FALSE), 0)</f>
        <v>0</v>
      </c>
      <c r="M3" s="33" t="s">
        <v>79</v>
      </c>
      <c r="N3" s="11">
        <f>IFERROR(VLOOKUP(N$2, 'Summary Statistics'!$A$2:$AI$61, 2, FALSE), 0)</f>
        <v>0.44444444444444442</v>
      </c>
      <c r="P3" s="33" t="s">
        <v>79</v>
      </c>
      <c r="Q3" s="11">
        <f>IFERROR(VLOOKUP(Q$2, 'Summary Statistics'!$A$2:$AI$61, 2, FALSE), 0)</f>
        <v>1</v>
      </c>
      <c r="S3" s="41" t="s">
        <v>79</v>
      </c>
      <c r="T3" s="11">
        <f>IFERROR(VLOOKUP(T$2, 'Summary Statistics'!$A$2:$AI$61, 2, FALSE), 0)</f>
        <v>0.42857142857142855</v>
      </c>
    </row>
    <row r="4" spans="1:20" ht="16" x14ac:dyDescent="0.2">
      <c r="A4" s="10"/>
      <c r="B4" s="50"/>
      <c r="D4" s="14" t="s">
        <v>80</v>
      </c>
      <c r="E4" s="18">
        <f>IFERROR(VLOOKUP(E$2, 'Summary Statistics'!$A$2:$AI$61, 3, FALSE), 0)</f>
        <v>0.66666666666666663</v>
      </c>
      <c r="G4" s="14" t="s">
        <v>80</v>
      </c>
      <c r="H4" s="18">
        <f>IFERROR(VLOOKUP(H$2, 'Summary Statistics'!$A$2:$AI$61, 3, FALSE), 0)</f>
        <v>1</v>
      </c>
      <c r="J4" s="28" t="s">
        <v>80</v>
      </c>
      <c r="K4" s="18">
        <f>IFERROR(VLOOKUP(K$2, 'Summary Statistics'!$A$2:$AI$61, 3, FALSE), 0)</f>
        <v>1</v>
      </c>
      <c r="M4" s="33" t="s">
        <v>80</v>
      </c>
      <c r="N4" s="18">
        <f>IFERROR(VLOOKUP(N$2, 'Summary Statistics'!$A$2:$AI$61, 3, FALSE), 0)</f>
        <v>1</v>
      </c>
      <c r="P4" s="33" t="s">
        <v>80</v>
      </c>
      <c r="Q4" s="18">
        <f>IFERROR(VLOOKUP(Q$2, 'Summary Statistics'!$A$2:$AI$61, 3, FALSE), 0)</f>
        <v>1</v>
      </c>
      <c r="S4" s="41" t="s">
        <v>80</v>
      </c>
      <c r="T4" s="18">
        <f>IFERROR(VLOOKUP(T$2, 'Summary Statistics'!$A$2:$AI$61, 3, FALSE), 0)</f>
        <v>0.5</v>
      </c>
    </row>
    <row r="5" spans="1:20" ht="16" x14ac:dyDescent="0.2">
      <c r="B5" s="50"/>
      <c r="D5" s="17" t="s">
        <v>154</v>
      </c>
      <c r="E5" s="20">
        <f>IFERROR(VLOOKUP(E$2, 'Summary Statistics'!$A$2:$AI$61, 4, FALSE), 0)</f>
        <v>1.1547005383792517</v>
      </c>
      <c r="G5" s="17" t="s">
        <v>154</v>
      </c>
      <c r="H5" s="20">
        <f>IFERROR(VLOOKUP(H$2, 'Summary Statistics'!$A$2:$AI$61, 4, FALSE), 0)</f>
        <v>0</v>
      </c>
      <c r="J5" s="29" t="s">
        <v>154</v>
      </c>
      <c r="K5" s="20">
        <f>IFERROR(VLOOKUP(K$2, 'Summary Statistics'!$A$2:$AI$61, 4, FALSE), 0)</f>
        <v>0</v>
      </c>
      <c r="M5" s="34" t="s">
        <v>154</v>
      </c>
      <c r="N5" s="20">
        <f>IFERROR(VLOOKUP(N$2, 'Summary Statistics'!$A$2:$AI$61, 4, FALSE), 0)</f>
        <v>0.70710678118654757</v>
      </c>
      <c r="P5" s="34" t="s">
        <v>154</v>
      </c>
      <c r="Q5" s="20">
        <f>IFERROR(VLOOKUP(Q$2, 'Summary Statistics'!$A$2:$AI$61, 4, FALSE), 0)</f>
        <v>0.57735026918962551</v>
      </c>
      <c r="S5" s="42" t="s">
        <v>154</v>
      </c>
      <c r="T5" s="20">
        <f>IFERROR(VLOOKUP(T$2, 'Summary Statistics'!$A$2:$AI$61, 4, FALSE), 0)</f>
        <v>0.70710678118654757</v>
      </c>
    </row>
    <row r="6" spans="1:20" ht="16" x14ac:dyDescent="0.2">
      <c r="A6" s="10" t="s">
        <v>111</v>
      </c>
      <c r="B6" s="50"/>
      <c r="D6" s="14" t="s">
        <v>104</v>
      </c>
      <c r="E6" s="19">
        <f>IFERROR(VLOOKUP(E$2, 'Summary Statistics'!$A$2:$AI$61, 6, FALSE), 0)</f>
        <v>0.92452830188679247</v>
      </c>
      <c r="G6" s="14" t="s">
        <v>104</v>
      </c>
      <c r="H6" s="19">
        <f>IFERROR(VLOOKUP(H$2, 'Summary Statistics'!$A$2:$AI$61, 6, FALSE), 0)</f>
        <v>0.90566037735849059</v>
      </c>
      <c r="J6" s="28" t="s">
        <v>104</v>
      </c>
      <c r="K6" s="19">
        <f>IFERROR(VLOOKUP(K$2, 'Summary Statistics'!$A$2:$AI$61, 6, FALSE), 0)</f>
        <v>0.7142857142857143</v>
      </c>
      <c r="M6" s="33" t="s">
        <v>104</v>
      </c>
      <c r="N6" s="19">
        <f>IFERROR(VLOOKUP(N$2, 'Summary Statistics'!$A$2:$AI$61, 6, FALSE), 0)</f>
        <v>0.78688524590163933</v>
      </c>
      <c r="P6" s="33" t="s">
        <v>104</v>
      </c>
      <c r="Q6" s="19">
        <f>IFERROR(VLOOKUP(Q$2, 'Summary Statistics'!$A$2:$AI$61, 6, FALSE), 0)</f>
        <v>0.86538461538461542</v>
      </c>
      <c r="S6" s="41" t="s">
        <v>104</v>
      </c>
      <c r="T6" s="19">
        <f>IFERROR(VLOOKUP(T$2, 'Summary Statistics'!$A$2:$AI$61, 6, FALSE), 0)</f>
        <v>0.81132075471698117</v>
      </c>
    </row>
    <row r="7" spans="1:20" ht="16" x14ac:dyDescent="0.2">
      <c r="A7" s="10"/>
      <c r="B7" s="50"/>
      <c r="D7" s="22" t="s">
        <v>82</v>
      </c>
      <c r="E7" s="11">
        <f>IFERROR(VLOOKUP(E$2, 'Summary Statistics'!$A$2:$AI$61, 7, FALSE), 0)</f>
        <v>4.083333333333333</v>
      </c>
      <c r="G7" s="22" t="s">
        <v>82</v>
      </c>
      <c r="H7" s="11">
        <f>IFERROR(VLOOKUP(H$2, 'Summary Statistics'!$A$2:$AI$61, 7, FALSE), 0)</f>
        <v>4</v>
      </c>
      <c r="J7" s="28" t="s">
        <v>82</v>
      </c>
      <c r="K7" s="11">
        <f>IFERROR(VLOOKUP(K$2, 'Summary Statistics'!$A$2:$AI$61, 7, FALSE), 0)</f>
        <v>1.6666666666666667</v>
      </c>
      <c r="M7" s="35" t="s">
        <v>82</v>
      </c>
      <c r="N7" s="11">
        <f>IFERROR(VLOOKUP(N$2, 'Summary Statistics'!$A$2:$AI$61, 7, FALSE), 0)</f>
        <v>4</v>
      </c>
      <c r="P7" s="35" t="s">
        <v>82</v>
      </c>
      <c r="Q7" s="11">
        <f>IFERROR(VLOOKUP(Q$2, 'Summary Statistics'!$A$2:$AI$61, 7, FALSE), 0)</f>
        <v>3.75</v>
      </c>
      <c r="S7" s="41" t="s">
        <v>82</v>
      </c>
      <c r="T7" s="11">
        <f>IFERROR(VLOOKUP(T$2, 'Summary Statistics'!$A$2:$AI$61, 7, FALSE), 0)</f>
        <v>3.5833333333333335</v>
      </c>
    </row>
    <row r="8" spans="1:20" ht="16" x14ac:dyDescent="0.2">
      <c r="A8" s="10"/>
      <c r="B8" s="50"/>
      <c r="D8" s="22" t="s">
        <v>83</v>
      </c>
      <c r="E8" s="11">
        <f>IFERROR(VLOOKUP(E$2, 'Summary Statistics'!$A$2:$AI$61, 8, FALSE), 0)</f>
        <v>6</v>
      </c>
      <c r="G8" s="22" t="s">
        <v>83</v>
      </c>
      <c r="H8" s="11">
        <f>IFERROR(VLOOKUP(H$2, 'Summary Statistics'!$A$2:$AI$61, 8, FALSE), 0)</f>
        <v>6</v>
      </c>
      <c r="J8" s="28" t="s">
        <v>83</v>
      </c>
      <c r="K8" s="11">
        <f>IFERROR(VLOOKUP(K$2, 'Summary Statistics'!$A$2:$AI$61, 8, FALSE), 0)</f>
        <v>4</v>
      </c>
      <c r="M8" s="35" t="s">
        <v>83</v>
      </c>
      <c r="N8" s="11">
        <f>IFERROR(VLOOKUP(N$2, 'Summary Statistics'!$A$2:$AI$61, 8, FALSE), 0)</f>
        <v>6</v>
      </c>
      <c r="P8" s="35" t="s">
        <v>83</v>
      </c>
      <c r="Q8" s="11">
        <f>IFERROR(VLOOKUP(Q$2, 'Summary Statistics'!$A$2:$AI$61, 8, FALSE), 0)</f>
        <v>6</v>
      </c>
      <c r="S8" s="41" t="s">
        <v>83</v>
      </c>
      <c r="T8" s="11">
        <f>IFERROR(VLOOKUP(T$2, 'Summary Statistics'!$A$2:$AI$61, 8, FALSE), 0)</f>
        <v>7</v>
      </c>
    </row>
    <row r="9" spans="1:20" ht="16" x14ac:dyDescent="0.2">
      <c r="A9" s="10"/>
      <c r="B9" s="50"/>
      <c r="D9" s="23" t="s">
        <v>84</v>
      </c>
      <c r="E9" s="11">
        <f>IFERROR(VLOOKUP(E$2, 'Summary Statistics'!$A$2:$AI$61, 9, FALSE), 0)</f>
        <v>1.7816403745544227</v>
      </c>
      <c r="G9" s="23" t="s">
        <v>84</v>
      </c>
      <c r="H9" s="11">
        <f>IFERROR(VLOOKUP(H$2, 'Summary Statistics'!$A$2:$AI$61, 9, FALSE), 0)</f>
        <v>1.4770978917519928</v>
      </c>
      <c r="J9" s="26" t="s">
        <v>84</v>
      </c>
      <c r="K9" s="11">
        <f>IFERROR(VLOOKUP(K$2, 'Summary Statistics'!$A$2:$AI$61, 9, FALSE), 0)</f>
        <v>1.4354811251305468</v>
      </c>
      <c r="M9" s="32" t="s">
        <v>84</v>
      </c>
      <c r="N9" s="11">
        <f>IFERROR(VLOOKUP(N$2, 'Summary Statistics'!$A$2:$AI$61, 9, FALSE), 0)</f>
        <v>2.088931871468374</v>
      </c>
      <c r="P9" s="32" t="s">
        <v>84</v>
      </c>
      <c r="Q9" s="11">
        <f>IFERROR(VLOOKUP(Q$2, 'Summary Statistics'!$A$2:$AI$61, 9, FALSE), 0)</f>
        <v>2.0056737702645644</v>
      </c>
      <c r="S9" s="40" t="s">
        <v>84</v>
      </c>
      <c r="T9" s="11">
        <f>IFERROR(VLOOKUP(T$2, 'Summary Statistics'!$A$2:$AI$61, 9, FALSE), 0)</f>
        <v>2.1514618004482156</v>
      </c>
    </row>
    <row r="10" spans="1:20" ht="16" x14ac:dyDescent="0.2">
      <c r="A10" s="10" t="s">
        <v>112</v>
      </c>
      <c r="B10" s="50"/>
      <c r="D10" s="14" t="s">
        <v>105</v>
      </c>
      <c r="E10" s="11">
        <f>IFERROR(VLOOKUP(E$2, 'Summary Statistics'!$A$2:$AI$61, 11, FALSE), 0)</f>
        <v>1</v>
      </c>
      <c r="G10" s="14" t="s">
        <v>105</v>
      </c>
      <c r="H10" s="11">
        <f>IFERROR(VLOOKUP(H$2, 'Summary Statistics'!$A$2:$AI$61, 11, FALSE), 0)</f>
        <v>1</v>
      </c>
      <c r="J10" s="28" t="s">
        <v>105</v>
      </c>
      <c r="K10" s="11">
        <f>IFERROR(VLOOKUP(K$2, 'Summary Statistics'!$A$2:$AI$61, 11, FALSE), 0)</f>
        <v>0.95</v>
      </c>
      <c r="M10" s="33" t="s">
        <v>105</v>
      </c>
      <c r="N10" s="11">
        <f>IFERROR(VLOOKUP(N$2, 'Summary Statistics'!$A$2:$AI$61, 11, FALSE), 0)</f>
        <v>1</v>
      </c>
      <c r="P10" s="33" t="s">
        <v>105</v>
      </c>
      <c r="Q10" s="11">
        <f>IFERROR(VLOOKUP(Q$2, 'Summary Statistics'!$A$2:$AI$61, 11, FALSE), 0)</f>
        <v>1</v>
      </c>
      <c r="S10" s="41" t="s">
        <v>105</v>
      </c>
      <c r="T10" s="11">
        <f>IFERROR(VLOOKUP(T$2, 'Summary Statistics'!$A$2:$AI$61, 11, FALSE), 0)</f>
        <v>1</v>
      </c>
    </row>
    <row r="11" spans="1:20" ht="16" x14ac:dyDescent="0.2">
      <c r="A11" s="10"/>
      <c r="B11" s="50"/>
      <c r="D11" s="22" t="s">
        <v>86</v>
      </c>
      <c r="E11" s="11">
        <f>IFERROR(VLOOKUP(E$2, 'Summary Statistics'!$A$2:$AI$61, 12, FALSE), 0)</f>
        <v>1</v>
      </c>
      <c r="G11" s="22" t="s">
        <v>86</v>
      </c>
      <c r="H11" s="11">
        <f>IFERROR(VLOOKUP(H$2, 'Summary Statistics'!$A$2:$AI$61, 12, FALSE), 0)</f>
        <v>8.3333333333333329E-2</v>
      </c>
      <c r="J11" s="28" t="s">
        <v>86</v>
      </c>
      <c r="K11" s="11">
        <f>IFERROR(VLOOKUP(K$2, 'Summary Statistics'!$A$2:$AI$61, 12, FALSE), 0)</f>
        <v>1.5833333333333333</v>
      </c>
      <c r="M11" s="35" t="s">
        <v>86</v>
      </c>
      <c r="N11" s="11">
        <f>IFERROR(VLOOKUP(N$2, 'Summary Statistics'!$A$2:$AI$61, 12, FALSE), 0)</f>
        <v>1.6666666666666667</v>
      </c>
      <c r="P11" s="35" t="s">
        <v>86</v>
      </c>
      <c r="Q11" s="11">
        <f>IFERROR(VLOOKUP(Q$2, 'Summary Statistics'!$A$2:$AI$61, 12, FALSE), 0)</f>
        <v>0.25</v>
      </c>
      <c r="S11" s="41" t="s">
        <v>86</v>
      </c>
      <c r="T11" s="11">
        <f>IFERROR(VLOOKUP(T$2, 'Summary Statistics'!$A$2:$AI$61, 12, FALSE), 0)</f>
        <v>0.66666666666666663</v>
      </c>
    </row>
    <row r="12" spans="1:20" ht="16" x14ac:dyDescent="0.2">
      <c r="A12" s="10"/>
      <c r="B12" s="50"/>
      <c r="D12" s="22" t="s">
        <v>87</v>
      </c>
      <c r="E12" s="11">
        <f>IFERROR(VLOOKUP(E$2, 'Summary Statistics'!$A$2:$AI$61, 13, FALSE), 0)</f>
        <v>5</v>
      </c>
      <c r="G12" s="22" t="s">
        <v>87</v>
      </c>
      <c r="H12" s="11">
        <f>IFERROR(VLOOKUP(H$2, 'Summary Statistics'!$A$2:$AI$61, 13, FALSE), 0)</f>
        <v>1</v>
      </c>
      <c r="J12" s="28" t="s">
        <v>87</v>
      </c>
      <c r="K12" s="11">
        <f>IFERROR(VLOOKUP(K$2, 'Summary Statistics'!$A$2:$AI$61, 13, FALSE), 0)</f>
        <v>5</v>
      </c>
      <c r="M12" s="35" t="s">
        <v>87</v>
      </c>
      <c r="N12" s="11">
        <f>IFERROR(VLOOKUP(N$2, 'Summary Statistics'!$A$2:$AI$61, 13, FALSE), 0)</f>
        <v>3</v>
      </c>
      <c r="P12" s="35" t="s">
        <v>87</v>
      </c>
      <c r="Q12" s="11">
        <f>IFERROR(VLOOKUP(Q$2, 'Summary Statistics'!$A$2:$AI$61, 13, FALSE), 0)</f>
        <v>1</v>
      </c>
      <c r="S12" s="41" t="s">
        <v>87</v>
      </c>
      <c r="T12" s="11">
        <f>IFERROR(VLOOKUP(T$2, 'Summary Statistics'!$A$2:$AI$61, 13, FALSE), 0)</f>
        <v>3</v>
      </c>
    </row>
    <row r="13" spans="1:20" ht="16" x14ac:dyDescent="0.2">
      <c r="A13" s="10"/>
      <c r="B13" s="50"/>
      <c r="D13" s="23" t="s">
        <v>88</v>
      </c>
      <c r="E13" s="11">
        <f>IFERROR(VLOOKUP(E$2, 'Summary Statistics'!$A$2:$AI$61, 14, FALSE), 0)</f>
        <v>1.7056057308448835</v>
      </c>
      <c r="G13" s="23" t="s">
        <v>88</v>
      </c>
      <c r="H13" s="11">
        <f>IFERROR(VLOOKUP(H$2, 'Summary Statistics'!$A$2:$AI$61, 14, FALSE), 0)</f>
        <v>0.28867513459481287</v>
      </c>
      <c r="J13" s="26" t="s">
        <v>88</v>
      </c>
      <c r="K13" s="11">
        <f>IFERROR(VLOOKUP(K$2, 'Summary Statistics'!$A$2:$AI$61, 14, FALSE), 0)</f>
        <v>1.8319554050414564</v>
      </c>
      <c r="M13" s="32" t="s">
        <v>88</v>
      </c>
      <c r="N13" s="11">
        <f>IFERROR(VLOOKUP(N$2, 'Summary Statistics'!$A$2:$AI$61, 14, FALSE), 0)</f>
        <v>1.2309149097933272</v>
      </c>
      <c r="P13" s="32" t="s">
        <v>88</v>
      </c>
      <c r="Q13" s="11">
        <f>IFERROR(VLOOKUP(Q$2, 'Summary Statistics'!$A$2:$AI$61, 14, FALSE), 0)</f>
        <v>0.45226701686664544</v>
      </c>
      <c r="S13" s="40" t="s">
        <v>88</v>
      </c>
      <c r="T13" s="11">
        <f>IFERROR(VLOOKUP(T$2, 'Summary Statistics'!$A$2:$AI$61, 14, FALSE), 0)</f>
        <v>1.0730867399773196</v>
      </c>
    </row>
    <row r="14" spans="1:20" ht="16" x14ac:dyDescent="0.2">
      <c r="A14" s="10" t="s">
        <v>113</v>
      </c>
      <c r="B14" s="50"/>
      <c r="D14" s="22" t="s">
        <v>89</v>
      </c>
      <c r="E14" s="11">
        <f>IFERROR(VLOOKUP(E$2, 'Summary Statistics'!$A$2:$AI$61, 16, FALSE), 0)</f>
        <v>0.66666666666666663</v>
      </c>
      <c r="G14" s="22" t="s">
        <v>89</v>
      </c>
      <c r="H14" s="11">
        <f>IFERROR(VLOOKUP(H$2, 'Summary Statistics'!$A$2:$AI$61, 16, FALSE), 0)</f>
        <v>0</v>
      </c>
      <c r="J14" s="28" t="s">
        <v>89</v>
      </c>
      <c r="K14" s="11">
        <f>IFERROR(VLOOKUP(K$2, 'Summary Statistics'!$A$2:$AI$61, 16, FALSE), 0)</f>
        <v>0.91666666666666663</v>
      </c>
      <c r="M14" s="35" t="s">
        <v>89</v>
      </c>
      <c r="N14" s="11">
        <f>IFERROR(VLOOKUP(N$2, 'Summary Statistics'!$A$2:$AI$61, 16, FALSE), 0)</f>
        <v>2.1666666666666665</v>
      </c>
      <c r="P14" s="35" t="s">
        <v>89</v>
      </c>
      <c r="Q14" s="11">
        <f>IFERROR(VLOOKUP(Q$2, 'Summary Statistics'!$A$2:$AI$61, 16, FALSE), 0)</f>
        <v>0.41666666666666669</v>
      </c>
      <c r="S14" s="41" t="s">
        <v>89</v>
      </c>
      <c r="T14" s="11">
        <f>IFERROR(VLOOKUP(T$2, 'Summary Statistics'!$A$2:$AI$61, 16, FALSE), 0)</f>
        <v>1.25</v>
      </c>
    </row>
    <row r="15" spans="1:20" ht="16" x14ac:dyDescent="0.2">
      <c r="A15" s="10"/>
      <c r="B15" s="50"/>
      <c r="D15" s="14" t="s">
        <v>90</v>
      </c>
      <c r="E15" s="11">
        <f>IFERROR(VLOOKUP(E$2, 'Summary Statistics'!$A$2:$AI$61, 17, FALSE), 0)</f>
        <v>6</v>
      </c>
      <c r="G15" s="14" t="s">
        <v>90</v>
      </c>
      <c r="H15" s="11">
        <f>IFERROR(VLOOKUP(H$2, 'Summary Statistics'!$A$2:$AI$61, 17, FALSE), 0)</f>
        <v>0</v>
      </c>
      <c r="J15" s="28" t="s">
        <v>90</v>
      </c>
      <c r="K15" s="11">
        <f>IFERROR(VLOOKUP(K$2, 'Summary Statistics'!$A$2:$AI$61, 17, FALSE), 0)</f>
        <v>6</v>
      </c>
      <c r="M15" s="33" t="s">
        <v>90</v>
      </c>
      <c r="N15" s="11">
        <f>IFERROR(VLOOKUP(N$2, 'Summary Statistics'!$A$2:$AI$61, 17, FALSE), 0)</f>
        <v>8</v>
      </c>
      <c r="P15" s="33" t="s">
        <v>90</v>
      </c>
      <c r="Q15" s="11">
        <f>IFERROR(VLOOKUP(Q$2, 'Summary Statistics'!$A$2:$AI$61, 17, FALSE), 0)</f>
        <v>2</v>
      </c>
      <c r="S15" s="41" t="s">
        <v>90</v>
      </c>
      <c r="T15" s="11">
        <f>IFERROR(VLOOKUP(T$2, 'Summary Statistics'!$A$2:$AI$61, 17, FALSE), 0)</f>
        <v>6</v>
      </c>
    </row>
    <row r="16" spans="1:20" ht="16" x14ac:dyDescent="0.2">
      <c r="B16" s="50"/>
      <c r="D16" s="13" t="s">
        <v>91</v>
      </c>
      <c r="E16" s="11">
        <f>IFERROR(VLOOKUP(E$2, 'Summary Statistics'!$A$2:$AI$61, 18, FALSE), 0)</f>
        <v>1.7752507291971891</v>
      </c>
      <c r="G16" s="13" t="s">
        <v>91</v>
      </c>
      <c r="H16" s="11">
        <f>IFERROR(VLOOKUP(H$2, 'Summary Statistics'!$A$2:$AI$61, 18, FALSE), 0)</f>
        <v>0</v>
      </c>
      <c r="J16" s="26" t="s">
        <v>91</v>
      </c>
      <c r="K16" s="11">
        <f>IFERROR(VLOOKUP(K$2, 'Summary Statistics'!$A$2:$AI$61, 18, FALSE), 0)</f>
        <v>1.9752253419585197</v>
      </c>
      <c r="M16" s="36" t="s">
        <v>91</v>
      </c>
      <c r="N16" s="11">
        <f>IFERROR(VLOOKUP(N$2, 'Summary Statistics'!$A$2:$AI$61, 18, FALSE), 0)</f>
        <v>2.7906771199618898</v>
      </c>
      <c r="P16" s="36" t="s">
        <v>91</v>
      </c>
      <c r="Q16" s="11">
        <f>IFERROR(VLOOKUP(Q$2, 'Summary Statistics'!$A$2:$AI$61, 18, FALSE), 0)</f>
        <v>0.79296146109875909</v>
      </c>
      <c r="S16" s="40" t="s">
        <v>91</v>
      </c>
      <c r="T16" s="11">
        <f>IFERROR(VLOOKUP(T$2, 'Summary Statistics'!$A$2:$AI$61, 18, FALSE), 0)</f>
        <v>2.3788843832962772</v>
      </c>
    </row>
    <row r="17" spans="1:20" ht="16" x14ac:dyDescent="0.2">
      <c r="A17" s="10" t="s">
        <v>114</v>
      </c>
      <c r="B17" s="51"/>
      <c r="D17" s="15" t="s">
        <v>95</v>
      </c>
      <c r="E17" s="11">
        <f>IFERROR(VLOOKUP(E$2, 'Summary Statistics'!$A$2:$AI$61, 19, FALSE), 0)</f>
        <v>3</v>
      </c>
      <c r="G17" s="15" t="s">
        <v>95</v>
      </c>
      <c r="H17" s="11">
        <f>IFERROR(VLOOKUP(H$2, 'Summary Statistics'!$A$2:$AI$61, 19, FALSE), 0)</f>
        <v>4</v>
      </c>
      <c r="J17" s="26" t="s">
        <v>95</v>
      </c>
      <c r="K17" s="11">
        <f>IFERROR(VLOOKUP(K$2, 'Summary Statistics'!$A$2:$AI$61, 19, FALSE), 0)</f>
        <v>2</v>
      </c>
      <c r="M17" s="37" t="s">
        <v>95</v>
      </c>
      <c r="N17" s="11">
        <f>IFERROR(VLOOKUP(N$2, 'Summary Statistics'!$A$2:$AI$61, 19, FALSE), 0)</f>
        <v>4</v>
      </c>
      <c r="P17" s="37" t="s">
        <v>95</v>
      </c>
      <c r="Q17" s="11">
        <f>IFERROR(VLOOKUP(Q$2, 'Summary Statistics'!$A$2:$AI$61, 19, FALSE), 0)</f>
        <v>6</v>
      </c>
      <c r="S17" s="40" t="s">
        <v>95</v>
      </c>
      <c r="T17" s="11">
        <f>IFERROR(VLOOKUP(T$2, 'Summary Statistics'!$A$2:$AI$61, 19, FALSE), 0)</f>
        <v>0</v>
      </c>
    </row>
    <row r="18" spans="1:20" ht="16" x14ac:dyDescent="0.2">
      <c r="A18" s="10" t="s">
        <v>115</v>
      </c>
      <c r="B18" s="50"/>
      <c r="D18" s="14" t="s">
        <v>53</v>
      </c>
      <c r="E18" s="11">
        <f>IFERROR(VLOOKUP(E$2, 'Summary Statistics'!$A$2:$AI$61, 21, FALSE), 0)</f>
        <v>0.17499999999999999</v>
      </c>
      <c r="G18" s="14" t="s">
        <v>53</v>
      </c>
      <c r="H18" s="11">
        <f>IFERROR(VLOOKUP(H$2, 'Summary Statistics'!$A$2:$AI$61, 21, FALSE), 0)</f>
        <v>0.25714285714285712</v>
      </c>
      <c r="J18" s="28" t="s">
        <v>53</v>
      </c>
      <c r="K18" s="11">
        <f>IFERROR(VLOOKUP(K$2, 'Summary Statistics'!$A$2:$AI$61, 21, FALSE), 0)</f>
        <v>7.6923076923076927E-2</v>
      </c>
      <c r="M18" s="33" t="s">
        <v>53</v>
      </c>
      <c r="N18" s="11">
        <f>IFERROR(VLOOKUP(N$2, 'Summary Statistics'!$A$2:$AI$61, 21, FALSE), 0)</f>
        <v>0.15315315315315314</v>
      </c>
      <c r="P18" s="33" t="s">
        <v>53</v>
      </c>
      <c r="Q18" s="11">
        <f>IFERROR(VLOOKUP(Q$2, 'Summary Statistics'!$A$2:$AI$61, 21, FALSE), 0)</f>
        <v>0.18390804597701149</v>
      </c>
      <c r="S18" s="41" t="s">
        <v>53</v>
      </c>
      <c r="T18" s="11">
        <f>IFERROR(VLOOKUP(T$2, 'Summary Statistics'!$A$2:$AI$61, 21, FALSE), 0)</f>
        <v>8.4507042253521125E-2</v>
      </c>
    </row>
    <row r="19" spans="1:20" ht="16" x14ac:dyDescent="0.2">
      <c r="A19" s="10"/>
      <c r="B19" s="50"/>
      <c r="D19" s="13" t="s">
        <v>56</v>
      </c>
      <c r="E19" s="11">
        <f>IFERROR(VLOOKUP(E$2, 'Summary Statistics'!$A$2:$AI$61, 22, FALSE), 0)</f>
        <v>0.82499999999999996</v>
      </c>
      <c r="G19" s="13" t="s">
        <v>56</v>
      </c>
      <c r="H19" s="11">
        <f>IFERROR(VLOOKUP(H$2, 'Summary Statistics'!$A$2:$AI$61, 22, FALSE), 0)</f>
        <v>0.74285714285714288</v>
      </c>
      <c r="J19" s="26" t="s">
        <v>56</v>
      </c>
      <c r="K19" s="11">
        <f>IFERROR(VLOOKUP(K$2, 'Summary Statistics'!$A$2:$AI$61, 22, FALSE), 0)</f>
        <v>0.92307692307692313</v>
      </c>
      <c r="M19" s="36" t="s">
        <v>56</v>
      </c>
      <c r="N19" s="11">
        <f>IFERROR(VLOOKUP(N$2, 'Summary Statistics'!$A$2:$AI$61, 22, FALSE), 0)</f>
        <v>0.84684684684684686</v>
      </c>
      <c r="P19" s="36" t="s">
        <v>56</v>
      </c>
      <c r="Q19" s="11">
        <f>IFERROR(VLOOKUP(Q$2, 'Summary Statistics'!$A$2:$AI$61, 22, FALSE), 0)</f>
        <v>0.81609195402298851</v>
      </c>
      <c r="S19" s="40" t="s">
        <v>56</v>
      </c>
      <c r="T19" s="11">
        <f>IFERROR(VLOOKUP(T$2, 'Summary Statistics'!$A$2:$AI$61, 22, FALSE), 0)</f>
        <v>0.91549295774647887</v>
      </c>
    </row>
    <row r="20" spans="1:20" ht="16" x14ac:dyDescent="0.2">
      <c r="A20" s="10" t="s">
        <v>7</v>
      </c>
      <c r="B20" s="50"/>
      <c r="D20" s="14" t="s">
        <v>39</v>
      </c>
      <c r="E20" s="11">
        <f>IFERROR(VLOOKUP(E$2, 'Summary Statistics'!$A$2:$AI$61, 24, FALSE), 0)</f>
        <v>0</v>
      </c>
      <c r="G20" s="14" t="s">
        <v>39</v>
      </c>
      <c r="H20" s="11">
        <f>IFERROR(VLOOKUP(H$2, 'Summary Statistics'!$A$2:$AI$61, 24, FALSE), 0)</f>
        <v>0</v>
      </c>
      <c r="J20" s="28" t="s">
        <v>39</v>
      </c>
      <c r="K20" s="11">
        <f>IFERROR(VLOOKUP(K$2, 'Summary Statistics'!$A$2:$AI$61, 24, FALSE), 0)</f>
        <v>0</v>
      </c>
      <c r="M20" s="33" t="s">
        <v>39</v>
      </c>
      <c r="N20" s="11">
        <f>IFERROR(VLOOKUP(N$2, 'Summary Statistics'!$A$2:$AI$61, 24, FALSE), 0)</f>
        <v>0</v>
      </c>
      <c r="P20" s="33" t="s">
        <v>39</v>
      </c>
      <c r="Q20" s="11">
        <f>IFERROR(VLOOKUP(Q$2, 'Summary Statistics'!$A$2:$AI$61, 24, FALSE), 0)</f>
        <v>0</v>
      </c>
      <c r="S20" s="41" t="s">
        <v>39</v>
      </c>
      <c r="T20" s="11">
        <f>IFERROR(VLOOKUP(T$2, 'Summary Statistics'!$A$2:$AI$61, 24, FALSE), 0)</f>
        <v>0</v>
      </c>
    </row>
    <row r="21" spans="1:20" ht="16" x14ac:dyDescent="0.2">
      <c r="B21" s="50"/>
      <c r="D21" s="14" t="s">
        <v>101</v>
      </c>
      <c r="E21" s="11">
        <f>IFERROR(VLOOKUP(E$2, 'Summary Statistics'!$A$2:$AI$61, 25, FALSE), 0)</f>
        <v>0</v>
      </c>
      <c r="G21" s="14" t="s">
        <v>101</v>
      </c>
      <c r="H21" s="11">
        <f>IFERROR(VLOOKUP(H$2, 'Summary Statistics'!$A$2:$AI$61, 25, FALSE), 0)</f>
        <v>0</v>
      </c>
      <c r="J21" s="28" t="s">
        <v>101</v>
      </c>
      <c r="K21" s="11">
        <f>IFERROR(VLOOKUP(K$2, 'Summary Statistics'!$A$2:$AI$61, 25, FALSE), 0)</f>
        <v>0</v>
      </c>
      <c r="M21" s="33" t="s">
        <v>101</v>
      </c>
      <c r="N21" s="11">
        <f>IFERROR(VLOOKUP(N$2, 'Summary Statistics'!$A$2:$AI$61, 25, FALSE), 0)</f>
        <v>0</v>
      </c>
      <c r="P21" s="33" t="s">
        <v>101</v>
      </c>
      <c r="Q21" s="11">
        <f>IFERROR(VLOOKUP(Q$2, 'Summary Statistics'!$A$2:$AI$61, 25, FALSE), 0)</f>
        <v>0</v>
      </c>
      <c r="S21" s="41" t="s">
        <v>101</v>
      </c>
      <c r="T21" s="11">
        <f>IFERROR(VLOOKUP(T$2, 'Summary Statistics'!$A$2:$AI$61, 25, FALSE), 0)</f>
        <v>0</v>
      </c>
    </row>
    <row r="22" spans="1:20" ht="16" x14ac:dyDescent="0.2">
      <c r="B22" s="50"/>
      <c r="D22" s="14" t="s">
        <v>106</v>
      </c>
      <c r="E22" s="11">
        <f>IFERROR(VLOOKUP(E$2, 'Summary Statistics'!$A$2:$AI$61, 26, FALSE), 0)</f>
        <v>1</v>
      </c>
      <c r="G22" s="14" t="s">
        <v>106</v>
      </c>
      <c r="H22" s="11">
        <f>IFERROR(VLOOKUP(H$2, 'Summary Statistics'!$A$2:$AI$61, 26, FALSE), 0)</f>
        <v>0.8</v>
      </c>
      <c r="J22" s="28" t="s">
        <v>106</v>
      </c>
      <c r="K22" s="11">
        <f>IFERROR(VLOOKUP(K$2, 'Summary Statistics'!$A$2:$AI$61, 26, FALSE), 0)</f>
        <v>0.5</v>
      </c>
      <c r="M22" s="33" t="s">
        <v>106</v>
      </c>
      <c r="N22" s="11">
        <f>IFERROR(VLOOKUP(N$2, 'Summary Statistics'!$A$2:$AI$61, 26, FALSE), 0)</f>
        <v>0.5</v>
      </c>
      <c r="P22" s="33" t="s">
        <v>106</v>
      </c>
      <c r="Q22" s="11">
        <f>IFERROR(VLOOKUP(Q$2, 'Summary Statistics'!$A$2:$AI$61, 26, FALSE), 0)</f>
        <v>0.66666666666666663</v>
      </c>
      <c r="S22" s="41" t="s">
        <v>106</v>
      </c>
      <c r="T22" s="11">
        <f>IFERROR(VLOOKUP(T$2, 'Summary Statistics'!$A$2:$AI$61, 26, FALSE), 0)</f>
        <v>0.66666666666666663</v>
      </c>
    </row>
    <row r="23" spans="1:20" ht="16" x14ac:dyDescent="0.2">
      <c r="B23" s="50"/>
      <c r="D23" s="14" t="s">
        <v>102</v>
      </c>
      <c r="E23" s="11">
        <f>IFERROR(VLOOKUP(E$2, 'Summary Statistics'!$A$2:$AI$61, 27, FALSE), 0)</f>
        <v>11</v>
      </c>
      <c r="G23" s="14" t="s">
        <v>102</v>
      </c>
      <c r="H23" s="11">
        <f>IFERROR(VLOOKUP(H$2, 'Summary Statistics'!$A$2:$AI$61, 27, FALSE), 0)</f>
        <v>8</v>
      </c>
      <c r="J23" s="28" t="s">
        <v>102</v>
      </c>
      <c r="K23" s="11">
        <f>IFERROR(VLOOKUP(K$2, 'Summary Statistics'!$A$2:$AI$61, 27, FALSE), 0)</f>
        <v>1</v>
      </c>
      <c r="M23" s="33" t="s">
        <v>102</v>
      </c>
      <c r="N23" s="11">
        <f>IFERROR(VLOOKUP(N$2, 'Summary Statistics'!$A$2:$AI$61, 27, FALSE), 0)</f>
        <v>1</v>
      </c>
      <c r="P23" s="33" t="s">
        <v>102</v>
      </c>
      <c r="Q23" s="11">
        <f>IFERROR(VLOOKUP(Q$2, 'Summary Statistics'!$A$2:$AI$61, 27, FALSE), 0)</f>
        <v>4</v>
      </c>
      <c r="S23" s="41" t="s">
        <v>102</v>
      </c>
      <c r="T23" s="11">
        <f>IFERROR(VLOOKUP(T$2, 'Summary Statistics'!$A$2:$AI$61, 27, FALSE), 0)</f>
        <v>4</v>
      </c>
    </row>
    <row r="24" spans="1:20" ht="16" x14ac:dyDescent="0.2">
      <c r="B24" s="50"/>
      <c r="D24" s="21" t="s">
        <v>159</v>
      </c>
      <c r="E24" s="11">
        <f>IFERROR(VLOOKUP(E$2, 'Summary Statistics'!$A$2:$AI$61, 28, FALSE), 0)</f>
        <v>0.28867513459481275</v>
      </c>
      <c r="G24" s="21" t="s">
        <v>159</v>
      </c>
      <c r="H24" s="11">
        <f>IFERROR(VLOOKUP(H$2, 'Summary Statistics'!$A$2:$AI$61, 28, FALSE), 0)</f>
        <v>0.49236596391733095</v>
      </c>
      <c r="J24" s="28" t="s">
        <v>159</v>
      </c>
      <c r="K24" s="11">
        <f>IFERROR(VLOOKUP(K$2, 'Summary Statistics'!$A$2:$AI$61, 28, FALSE), 0)</f>
        <v>0.28867513459481287</v>
      </c>
      <c r="M24" s="38" t="s">
        <v>159</v>
      </c>
      <c r="N24" s="11">
        <f>IFERROR(VLOOKUP(N$2, 'Summary Statistics'!$A$2:$AI$61, 28, FALSE), 0)</f>
        <v>0.28867513459481287</v>
      </c>
      <c r="P24" s="38" t="s">
        <v>159</v>
      </c>
      <c r="Q24" s="11">
        <f>IFERROR(VLOOKUP(Q$2, 'Summary Statistics'!$A$2:$AI$61, 28, FALSE), 0)</f>
        <v>0.49236596391733095</v>
      </c>
      <c r="S24" s="41" t="s">
        <v>159</v>
      </c>
      <c r="T24" s="11">
        <f>IFERROR(VLOOKUP(T$2, 'Summary Statistics'!$A$2:$AI$61, 28, FALSE), 0)</f>
        <v>0.49236596391733095</v>
      </c>
    </row>
    <row r="25" spans="1:20" ht="16" x14ac:dyDescent="0.2">
      <c r="B25" s="50"/>
      <c r="D25" s="14" t="s">
        <v>107</v>
      </c>
      <c r="E25" s="11">
        <f>IFERROR(VLOOKUP(E$2, 'Summary Statistics'!$A$2:$AI$61, 29, FALSE), 0)</f>
        <v>1</v>
      </c>
      <c r="G25" s="14" t="s">
        <v>107</v>
      </c>
      <c r="H25" s="11">
        <f>IFERROR(VLOOKUP(H$2, 'Summary Statistics'!$A$2:$AI$61, 29, FALSE), 0)</f>
        <v>0.77777777777777779</v>
      </c>
      <c r="J25" s="28" t="s">
        <v>107</v>
      </c>
      <c r="K25" s="11">
        <f>IFERROR(VLOOKUP(K$2, 'Summary Statistics'!$A$2:$AI$61, 29, FALSE), 0)</f>
        <v>0.5</v>
      </c>
      <c r="M25" s="33" t="s">
        <v>107</v>
      </c>
      <c r="N25" s="11">
        <f>IFERROR(VLOOKUP(N$2, 'Summary Statistics'!$A$2:$AI$61, 29, FALSE), 0)</f>
        <v>0</v>
      </c>
      <c r="P25" s="33" t="s">
        <v>107</v>
      </c>
      <c r="Q25" s="11">
        <f>IFERROR(VLOOKUP(Q$2, 'Summary Statistics'!$A$2:$AI$61, 29, FALSE), 0)</f>
        <v>0.8</v>
      </c>
      <c r="S25" s="41" t="s">
        <v>107</v>
      </c>
      <c r="T25" s="11">
        <f>IFERROR(VLOOKUP(T$2, 'Summary Statistics'!$A$2:$AI$61, 29, FALSE), 0)</f>
        <v>0.6</v>
      </c>
    </row>
    <row r="26" spans="1:20" ht="16" x14ac:dyDescent="0.2">
      <c r="B26" s="50"/>
      <c r="D26" s="14" t="s">
        <v>108</v>
      </c>
      <c r="E26" s="11">
        <f>IFERROR(VLOOKUP(E$2, 'Summary Statistics'!$A$2:$AI$61, 30, FALSE), 0)</f>
        <v>1</v>
      </c>
      <c r="G26" s="14" t="s">
        <v>108</v>
      </c>
      <c r="H26" s="11">
        <f>IFERROR(VLOOKUP(H$2, 'Summary Statistics'!$A$2:$AI$61, 30, FALSE), 0)</f>
        <v>1</v>
      </c>
      <c r="J26" s="28" t="s">
        <v>108</v>
      </c>
      <c r="K26" s="11">
        <f>IFERROR(VLOOKUP(K$2, 'Summary Statistics'!$A$2:$AI$61, 30, FALSE), 0)</f>
        <v>0</v>
      </c>
      <c r="M26" s="33" t="s">
        <v>108</v>
      </c>
      <c r="N26" s="11">
        <f>IFERROR(VLOOKUP(N$2, 'Summary Statistics'!$A$2:$AI$61, 30, FALSE), 0)</f>
        <v>0.5</v>
      </c>
      <c r="P26" s="33" t="s">
        <v>108</v>
      </c>
      <c r="Q26" s="11">
        <f>IFERROR(VLOOKUP(Q$2, 'Summary Statistics'!$A$2:$AI$61, 30, FALSE), 0)</f>
        <v>0</v>
      </c>
      <c r="S26" s="41" t="s">
        <v>108</v>
      </c>
      <c r="T26" s="11">
        <f>IFERROR(VLOOKUP(T$2, 'Summary Statistics'!$A$2:$AI$61, 30, FALSE), 0)</f>
        <v>1</v>
      </c>
    </row>
    <row r="27" spans="1:20" ht="16" x14ac:dyDescent="0.2">
      <c r="B27" s="50"/>
      <c r="D27" s="14" t="s">
        <v>97</v>
      </c>
      <c r="E27" s="11">
        <f>IFERROR(VLOOKUP(E$2, 'Summary Statistics'!$A$2:$AI$61, 31, FALSE), 0)</f>
        <v>1.125</v>
      </c>
      <c r="G27" s="14" t="s">
        <v>97</v>
      </c>
      <c r="H27" s="11">
        <f>IFERROR(VLOOKUP(H$2, 'Summary Statistics'!$A$2:$AI$61, 31, FALSE), 0)</f>
        <v>1</v>
      </c>
      <c r="J27" s="28" t="s">
        <v>97</v>
      </c>
      <c r="K27" s="11">
        <f>IFERROR(VLOOKUP(K$2, 'Summary Statistics'!$A$2:$AI$61, 31, FALSE), 0)</f>
        <v>1.3333333333333333</v>
      </c>
      <c r="M27" s="33" t="s">
        <v>97</v>
      </c>
      <c r="N27" s="11">
        <f>IFERROR(VLOOKUP(N$2, 'Summary Statistics'!$A$2:$AI$61, 31, FALSE), 0)</f>
        <v>0</v>
      </c>
      <c r="P27" s="33" t="s">
        <v>97</v>
      </c>
      <c r="Q27" s="11">
        <f>IFERROR(VLOOKUP(Q$2, 'Summary Statistics'!$A$2:$AI$61, 31, FALSE), 0)</f>
        <v>0</v>
      </c>
      <c r="S27" s="41" t="s">
        <v>97</v>
      </c>
      <c r="T27" s="11">
        <f>IFERROR(VLOOKUP(T$2, 'Summary Statistics'!$A$2:$AI$61, 31, FALSE), 0)</f>
        <v>0</v>
      </c>
    </row>
    <row r="28" spans="1:20" ht="16" x14ac:dyDescent="0.2">
      <c r="B28" s="50"/>
      <c r="D28" s="14" t="s">
        <v>109</v>
      </c>
      <c r="E28" s="11">
        <f>IFERROR(VLOOKUP(E$2, 'Summary Statistics'!$A$2:$AI$61, 32, FALSE), 0)</f>
        <v>2</v>
      </c>
      <c r="G28" s="14" t="s">
        <v>109</v>
      </c>
      <c r="H28" s="11">
        <f>IFERROR(VLOOKUP(H$2, 'Summary Statistics'!$A$2:$AI$61, 32, FALSE), 0)</f>
        <v>1</v>
      </c>
      <c r="J28" s="28" t="s">
        <v>109</v>
      </c>
      <c r="K28" s="11">
        <f>IFERROR(VLOOKUP(K$2, 'Summary Statistics'!$A$2:$AI$61, 32, FALSE), 0)</f>
        <v>2</v>
      </c>
      <c r="M28" s="33" t="s">
        <v>109</v>
      </c>
      <c r="N28" s="11">
        <f>IFERROR(VLOOKUP(N$2, 'Summary Statistics'!$A$2:$AI$61, 32, FALSE), 0)</f>
        <v>0</v>
      </c>
      <c r="P28" s="33" t="s">
        <v>109</v>
      </c>
      <c r="Q28" s="11">
        <f>IFERROR(VLOOKUP(Q$2, 'Summary Statistics'!$A$2:$AI$61, 32, FALSE), 0)</f>
        <v>0</v>
      </c>
      <c r="S28" s="41" t="s">
        <v>109</v>
      </c>
      <c r="T28" s="11">
        <f>IFERROR(VLOOKUP(T$2, 'Summary Statistics'!$A$2:$AI$61, 32, FALSE), 0)</f>
        <v>0</v>
      </c>
    </row>
    <row r="29" spans="1:20" ht="16" x14ac:dyDescent="0.2">
      <c r="B29" s="50"/>
      <c r="D29" s="14" t="s">
        <v>103</v>
      </c>
      <c r="E29" s="11">
        <f>IFERROR(VLOOKUP(E$2, 'Summary Statistics'!$A$2:$AI$61, 33, FALSE), 0)</f>
        <v>1</v>
      </c>
      <c r="G29" s="14" t="s">
        <v>103</v>
      </c>
      <c r="H29" s="11">
        <f>IFERROR(VLOOKUP(H$2, 'Summary Statistics'!$A$2:$AI$61, 33, FALSE), 0)</f>
        <v>4</v>
      </c>
      <c r="J29" s="28" t="s">
        <v>103</v>
      </c>
      <c r="K29" s="11">
        <f>IFERROR(VLOOKUP(K$2, 'Summary Statistics'!$A$2:$AI$61, 33, FALSE), 0)</f>
        <v>11</v>
      </c>
      <c r="M29" s="33" t="s">
        <v>103</v>
      </c>
      <c r="N29" s="11">
        <f>IFERROR(VLOOKUP(N$2, 'Summary Statistics'!$A$2:$AI$61, 33, FALSE), 0)</f>
        <v>11</v>
      </c>
      <c r="P29" s="33" t="s">
        <v>103</v>
      </c>
      <c r="Q29" s="11">
        <f>IFERROR(VLOOKUP(Q$2, 'Summary Statistics'!$A$2:$AI$61, 33, FALSE), 0)</f>
        <v>7</v>
      </c>
      <c r="S29" s="41" t="s">
        <v>103</v>
      </c>
      <c r="T29" s="11">
        <f>IFERROR(VLOOKUP(T$2, 'Summary Statistics'!$A$2:$AI$61, 33, FALSE), 0)</f>
        <v>9</v>
      </c>
    </row>
    <row r="30" spans="1:20" ht="16" x14ac:dyDescent="0.2">
      <c r="B30" s="51"/>
      <c r="D30" s="16" t="s">
        <v>152</v>
      </c>
      <c r="E30" s="11">
        <f>IFERROR(VLOOKUP(E$2, 'Summary Statistics'!$A$2:$AI$61, 35, FALSE), 0)</f>
        <v>12</v>
      </c>
      <c r="G30" s="16" t="s">
        <v>152</v>
      </c>
      <c r="H30" s="11">
        <f>IFERROR(VLOOKUP(H$2, 'Summary Statistics'!$A$2:$AI$61, 35, FALSE), 0)</f>
        <v>12</v>
      </c>
      <c r="J30" s="28" t="s">
        <v>152</v>
      </c>
      <c r="K30" s="11">
        <f>IFERROR(VLOOKUP(K$2, 'Summary Statistics'!$A$2:$AI$61, 35, FALSE), 0)</f>
        <v>12</v>
      </c>
      <c r="M30" s="39" t="s">
        <v>152</v>
      </c>
      <c r="N30" s="11">
        <f>IFERROR(VLOOKUP(N$2, 'Summary Statistics'!$A$2:$AI$61, 35, FALSE), 0)</f>
        <v>12</v>
      </c>
      <c r="P30" s="39" t="s">
        <v>152</v>
      </c>
      <c r="Q30" s="11">
        <f>IFERROR(VLOOKUP(Q$2, 'Summary Statistics'!$A$2:$AI$61, 35, FALSE), 0)</f>
        <v>12</v>
      </c>
      <c r="S30" s="41" t="s">
        <v>152</v>
      </c>
      <c r="T30" s="11">
        <f>IFERROR(VLOOKUP(T$2, 'Summary Statistics'!$A$2:$AI$61, 35, FALSE), 0)</f>
        <v>12</v>
      </c>
    </row>
    <row r="31" spans="1:20" ht="16" x14ac:dyDescent="0.2">
      <c r="G31" s="24"/>
      <c r="H31" s="25"/>
      <c r="J31" s="24"/>
      <c r="K31" s="25"/>
      <c r="M31" s="30"/>
      <c r="N31" s="25"/>
      <c r="O31" s="31"/>
      <c r="P31" s="30"/>
      <c r="Q31" s="25"/>
      <c r="R31" s="31"/>
      <c r="S31" s="30"/>
      <c r="T31" s="25"/>
    </row>
    <row r="32" spans="1:20" ht="16" x14ac:dyDescent="0.2">
      <c r="G32" s="24"/>
      <c r="H32" s="25"/>
      <c r="J32" s="24"/>
      <c r="K32" s="25"/>
      <c r="M32" s="30"/>
      <c r="N32" s="25"/>
      <c r="O32" s="31"/>
      <c r="P32" s="30"/>
      <c r="Q32" s="25"/>
      <c r="R32" s="31"/>
      <c r="S32" s="30"/>
      <c r="T32" s="25"/>
    </row>
    <row r="33" spans="1:20" ht="16" x14ac:dyDescent="0.2">
      <c r="G33" s="24"/>
      <c r="H33" s="25"/>
      <c r="J33" s="24"/>
      <c r="K33" s="25"/>
      <c r="M33" s="30"/>
      <c r="N33" s="25"/>
      <c r="O33" s="31"/>
      <c r="P33" s="30"/>
      <c r="Q33" s="25"/>
      <c r="R33" s="31"/>
      <c r="S33" s="30"/>
      <c r="T33" s="25"/>
    </row>
    <row r="34" spans="1:20" ht="16" x14ac:dyDescent="0.2">
      <c r="A34" s="1" t="s">
        <v>121</v>
      </c>
      <c r="D34" s="1" t="s">
        <v>131</v>
      </c>
      <c r="G34" s="1" t="s">
        <v>134</v>
      </c>
      <c r="K34" s="1" t="s">
        <v>147</v>
      </c>
      <c r="N34" s="1" t="s">
        <v>148</v>
      </c>
      <c r="P34" s="30"/>
      <c r="Q34" s="25"/>
      <c r="R34" s="31"/>
      <c r="S34" s="30"/>
      <c r="T34" s="25"/>
    </row>
    <row r="35" spans="1:20" ht="16" x14ac:dyDescent="0.2">
      <c r="D35" t="s">
        <v>122</v>
      </c>
      <c r="E35">
        <f>E3+H3+K3</f>
        <v>1.75</v>
      </c>
      <c r="G35" t="s">
        <v>122</v>
      </c>
      <c r="H35">
        <f>N3+Q3+T3</f>
        <v>1.873015873015873</v>
      </c>
      <c r="K35" t="s">
        <v>131</v>
      </c>
      <c r="L35">
        <f>1-_xlfn.NORM.DIST(1, O35, O38, TRUE)</f>
        <v>0.99999971334842808</v>
      </c>
      <c r="N35" t="s">
        <v>149</v>
      </c>
      <c r="O35">
        <f>E4+H4+K4</f>
        <v>2.6666666666666665</v>
      </c>
      <c r="P35" s="30"/>
      <c r="Q35" s="25"/>
      <c r="R35" s="31"/>
      <c r="S35" s="30"/>
      <c r="T35" s="25"/>
    </row>
    <row r="36" spans="1:20" ht="16" x14ac:dyDescent="0.2">
      <c r="D36" t="s">
        <v>123</v>
      </c>
      <c r="E36">
        <f>E4+H4+K4</f>
        <v>2.6666666666666665</v>
      </c>
      <c r="G36" t="s">
        <v>123</v>
      </c>
      <c r="H36">
        <f>N4+Q4+T4</f>
        <v>2.5</v>
      </c>
      <c r="K36" t="s">
        <v>134</v>
      </c>
      <c r="L36">
        <f>1-_xlfn.NORM.DIST(1, O36, O39, TRUE)</f>
        <v>0.99999660232687526</v>
      </c>
      <c r="N36" t="s">
        <v>150</v>
      </c>
      <c r="O36">
        <f>N4+Q4+T4</f>
        <v>2.5</v>
      </c>
      <c r="P36" s="30"/>
      <c r="Q36" s="25"/>
      <c r="R36" s="31"/>
      <c r="S36" s="30"/>
      <c r="T36" s="25"/>
    </row>
    <row r="37" spans="1:20" x14ac:dyDescent="0.2">
      <c r="D37" t="s">
        <v>125</v>
      </c>
      <c r="E37" s="43">
        <f>E7+H7+K7</f>
        <v>9.7499999999999982</v>
      </c>
      <c r="G37" t="s">
        <v>125</v>
      </c>
      <c r="H37" s="43">
        <f>N7+Q7+T7</f>
        <v>11.333333333333334</v>
      </c>
    </row>
    <row r="38" spans="1:20" x14ac:dyDescent="0.2">
      <c r="D38" t="s">
        <v>124</v>
      </c>
      <c r="E38" s="43">
        <f>E11+H11+K11</f>
        <v>2.6666666666666665</v>
      </c>
      <c r="G38" t="s">
        <v>124</v>
      </c>
      <c r="H38" s="43">
        <f>N11+Q11+T11</f>
        <v>2.5833333333333335</v>
      </c>
      <c r="K38" s="1" t="s">
        <v>156</v>
      </c>
      <c r="N38" t="s">
        <v>151</v>
      </c>
      <c r="O38">
        <f>SQRT(((E5/SQRT(E30))^2)+((H5/SQRT(H30))^2)+((K5/SQRT(K30))^2))</f>
        <v>0.33333333333333337</v>
      </c>
    </row>
    <row r="39" spans="1:20" x14ac:dyDescent="0.2">
      <c r="D39" t="s">
        <v>113</v>
      </c>
      <c r="E39">
        <f>IF(E14+H14+K14&gt;9,9,E14+H14+K14)</f>
        <v>1.5833333333333333</v>
      </c>
      <c r="G39" t="s">
        <v>113</v>
      </c>
      <c r="H39">
        <f>IF(N14+Q14+T14&gt;9,9,N14+Q14+T14)</f>
        <v>3.833333333333333</v>
      </c>
      <c r="K39" t="s">
        <v>131</v>
      </c>
      <c r="L39">
        <f>1-_xlfn.NORM.DIST(3, O42, O45, TRUE)</f>
        <v>7.4955171764146122E-5</v>
      </c>
      <c r="N39" t="s">
        <v>155</v>
      </c>
      <c r="O39">
        <f>SQRT(((N5/SQRT(N30))^2)+((Q5/SQRT(Q30))^2)+((T5/SQRT(T30))^2))</f>
        <v>0.33333333333333331</v>
      </c>
    </row>
    <row r="40" spans="1:20" x14ac:dyDescent="0.2">
      <c r="D40" t="s">
        <v>114</v>
      </c>
      <c r="E40">
        <f>E17+H17+K17</f>
        <v>9</v>
      </c>
      <c r="G40" t="s">
        <v>114</v>
      </c>
      <c r="H40">
        <f>N17+Q17+T17</f>
        <v>10</v>
      </c>
      <c r="K40" t="s">
        <v>134</v>
      </c>
      <c r="L40">
        <f>1-_xlfn.NORM.DIST(3, O43, O46, TRUE)</f>
        <v>4.1245890480823277E-8</v>
      </c>
    </row>
    <row r="41" spans="1:20" x14ac:dyDescent="0.2">
      <c r="D41" t="s">
        <v>126</v>
      </c>
      <c r="E41">
        <f>IF((E18&gt;H18)*(E18&gt;K18), E2, IF((H18&gt;E18)*(H18&gt;K18), H2, IF((K18&gt;E18)*(K18&gt;H18), K2, IF((E18=H18)*(E18&gt;K18), (E2&amp;" "&amp;H2), IF((E18=K18)*(E18&gt;H18), (E2&amp;" "&amp;K2), IF((H18=K18)*(H18&gt;E18), (H2&amp;" "&amp;K2), (E2&amp;" "&amp;H2&amp;" "&amp;K2)))))))</f>
        <v>3314</v>
      </c>
      <c r="G41" t="s">
        <v>126</v>
      </c>
      <c r="H41">
        <f>IF((N18&gt;Q18)*(N18&gt;T18), N2, IF((Q18&gt;N18)*(Q18&gt;T18), Q2, IF((T18&gt;N18)*(T18&gt;Q18), T2, IF((N18=Q18)*(N18&gt;T18), (N2&amp;" "&amp;Q2), IF((N18=T18)*(N18&gt;T18), (N2&amp;" "&amp;T2), IF((Q18=T18)*(Q18&gt;N18), (Q2&amp;" "&amp;T2), (N2&amp;" "&amp;Q2&amp;" "&amp;T2)))))))</f>
        <v>1640</v>
      </c>
      <c r="N41" s="1" t="s">
        <v>157</v>
      </c>
    </row>
    <row r="42" spans="1:20" x14ac:dyDescent="0.2">
      <c r="D42" t="s">
        <v>127</v>
      </c>
      <c r="E42">
        <f>IF((E19&gt;H19)*(E19&gt;K19), E2, IF((H19&gt;E19)*(H19&gt;K19), H2, IF((K19&gt;E19)*(K19&gt;H19), K2, IF((E19=H19)*(E19&gt;K19), (E2&amp;" "&amp;H2), IF((E19=K19)*(E19&gt;H19), (E2&amp;" "&amp;K2), IF((H19=K19)*(H19&gt;E19), (H2&amp;" "&amp;K2), (E2&amp;" "&amp;H2&amp;" "&amp;K2)))))))</f>
        <v>1676</v>
      </c>
      <c r="G42" t="s">
        <v>127</v>
      </c>
      <c r="H42" s="43">
        <f>IF((N19&gt;Q19)*(N19&gt;T19), N2, IF((Q19&gt;N19)*(Q19&gt;T19), Q2, IF((T19&gt;N19)*(T19&gt;Q19), T2, IF((N19=Q19)*(N19&gt;T19), (N2&amp;" "&amp;Q2), IF((N19=T19)*(N19&gt;Q19), (N2&amp;" "&amp;T2), IF((Q19=T19)*(Q19&gt;N19), (Q2&amp;" "&amp;T2), (N2&amp;" "&amp;Q2&amp;" "&amp;T2)))))))</f>
        <v>1089</v>
      </c>
      <c r="N42" t="s">
        <v>149</v>
      </c>
      <c r="O42">
        <f>E22+H22+K22</f>
        <v>2.2999999999999998</v>
      </c>
    </row>
    <row r="43" spans="1:20" x14ac:dyDescent="0.2">
      <c r="D43" t="s">
        <v>128</v>
      </c>
      <c r="E43">
        <f>E20+H20+K20</f>
        <v>0</v>
      </c>
      <c r="G43" t="s">
        <v>128</v>
      </c>
      <c r="H43">
        <f>N20+Q20+T20</f>
        <v>0</v>
      </c>
      <c r="N43" t="s">
        <v>150</v>
      </c>
      <c r="O43">
        <f>N22+Q22+T22</f>
        <v>1.833333333333333</v>
      </c>
    </row>
    <row r="44" spans="1:20" x14ac:dyDescent="0.2">
      <c r="D44" t="s">
        <v>129</v>
      </c>
      <c r="E44">
        <f>E25+H25+K25</f>
        <v>2.2777777777777777</v>
      </c>
      <c r="G44" t="s">
        <v>129</v>
      </c>
      <c r="H44">
        <f>N25+Q25+T25</f>
        <v>1.4</v>
      </c>
    </row>
    <row r="45" spans="1:20" x14ac:dyDescent="0.2">
      <c r="D45" t="s">
        <v>130</v>
      </c>
      <c r="E45">
        <v>1</v>
      </c>
      <c r="G45" t="s">
        <v>130</v>
      </c>
      <c r="H45">
        <v>0</v>
      </c>
      <c r="N45" t="s">
        <v>151</v>
      </c>
      <c r="O45">
        <f>SQRT(((E24/SQRT(E30))^2)+((H24/SQRT(H30))^2)+((K24/SQRT(K30))^2))</f>
        <v>0.1846372364689991</v>
      </c>
    </row>
    <row r="46" spans="1:20" x14ac:dyDescent="0.2">
      <c r="D46" t="s">
        <v>132</v>
      </c>
      <c r="E46">
        <f>IF(SUM(IF(E29&gt;0, 1, 0), IF(H29&gt;0, 1, 0), IF(K29&gt;0, 1, 0))&gt;=1, 1, 0)</f>
        <v>1</v>
      </c>
      <c r="G46" t="s">
        <v>132</v>
      </c>
      <c r="H46">
        <f>IF(SUM(IF(N29&gt;0, 1, 0), IF(Q29&gt;0, 1, 0), IF(T29&gt;0, 1, 0))&gt;=1, 1, 0)</f>
        <v>1</v>
      </c>
      <c r="N46" t="s">
        <v>155</v>
      </c>
      <c r="O46">
        <f>SQRT(((N24/SQRT(N30))^2)+((Q24/SQRT(Q30))^2)+((T24/SQRT(T30))^2))</f>
        <v>0.21759706994462233</v>
      </c>
    </row>
    <row r="47" spans="1:20" x14ac:dyDescent="0.2">
      <c r="D47" t="s">
        <v>133</v>
      </c>
      <c r="E47">
        <f>IF(SUM(E44:E46) &gt; 3, 3, SUM(E44:E46))</f>
        <v>3</v>
      </c>
      <c r="G47" t="s">
        <v>133</v>
      </c>
      <c r="H47">
        <f>IF(SUM(H44:H46) &gt; 3, 3, SUM(H44:H46))</f>
        <v>2.4</v>
      </c>
    </row>
    <row r="49" spans="1:8" x14ac:dyDescent="0.2">
      <c r="A49" s="1" t="s">
        <v>135</v>
      </c>
      <c r="D49" t="s">
        <v>136</v>
      </c>
      <c r="E49">
        <f>E39*5</f>
        <v>7.9166666666666661</v>
      </c>
      <c r="G49" t="s">
        <v>136</v>
      </c>
      <c r="H49">
        <f>H39*5</f>
        <v>19.166666666666664</v>
      </c>
    </row>
    <row r="50" spans="1:8" x14ac:dyDescent="0.2">
      <c r="D50" t="s">
        <v>137</v>
      </c>
      <c r="E50">
        <f>IF(E47&gt;=3,90,E47*30)</f>
        <v>90</v>
      </c>
      <c r="G50" t="s">
        <v>137</v>
      </c>
      <c r="H50">
        <f>IF(H47&gt;=3,90,H47*30)</f>
        <v>72</v>
      </c>
    </row>
    <row r="51" spans="1:8" x14ac:dyDescent="0.2">
      <c r="D51" t="s">
        <v>138</v>
      </c>
      <c r="E51">
        <f>IF(E43&gt;=3, 15, E43*5)</f>
        <v>0</v>
      </c>
      <c r="G51" t="s">
        <v>138</v>
      </c>
      <c r="H51">
        <f>IF(H43&gt;=3, 15, H43*5)</f>
        <v>0</v>
      </c>
    </row>
    <row r="52" spans="1:8" x14ac:dyDescent="0.2">
      <c r="D52" t="s">
        <v>139</v>
      </c>
      <c r="E52">
        <f>IF((E50+E51) &gt; 90, 90, (E50+E51))</f>
        <v>90</v>
      </c>
      <c r="G52" t="s">
        <v>139</v>
      </c>
      <c r="H52">
        <f>IF((H50+H51) &gt; 90, 90, (H50+H51))</f>
        <v>72</v>
      </c>
    </row>
    <row r="54" spans="1:8" x14ac:dyDescent="0.2">
      <c r="D54" s="1" t="s">
        <v>140</v>
      </c>
      <c r="E54">
        <f>E49+E52</f>
        <v>97.916666666666671</v>
      </c>
      <c r="G54" s="1" t="s">
        <v>140</v>
      </c>
      <c r="H54">
        <f>H49+H52</f>
        <v>91.166666666666657</v>
      </c>
    </row>
    <row r="56" spans="1:8" x14ac:dyDescent="0.2">
      <c r="A56" s="1" t="s">
        <v>141</v>
      </c>
      <c r="D56" t="s">
        <v>144</v>
      </c>
      <c r="E56" t="str">
        <f>IF(E36&gt;0, "Yes", "No")</f>
        <v>Yes</v>
      </c>
    </row>
    <row r="57" spans="1:8" x14ac:dyDescent="0.2">
      <c r="D57" t="s">
        <v>145</v>
      </c>
      <c r="E57" t="str">
        <f>IF(H36&gt;0, "Yes", "No")</f>
        <v>Yes</v>
      </c>
    </row>
    <row r="58" spans="1:8" x14ac:dyDescent="0.2">
      <c r="D58" t="s">
        <v>122</v>
      </c>
      <c r="E58" t="str">
        <f>IF(E35&gt;H35,"Ally",IF(H35&gt;E35,"Opponent",0))</f>
        <v>Opponent</v>
      </c>
    </row>
    <row r="59" spans="1:8" x14ac:dyDescent="0.2">
      <c r="D59" t="s">
        <v>142</v>
      </c>
      <c r="E59" t="str">
        <f>IF(E38&gt;H40,"Ally",IF(H40&gt;E38,"Opponent",0))</f>
        <v>Opponent</v>
      </c>
    </row>
    <row r="60" spans="1:8" x14ac:dyDescent="0.2">
      <c r="D60" t="s">
        <v>143</v>
      </c>
      <c r="E60" t="str">
        <f>IF(H38&gt;E40,"Opponent",IF(E40&gt;H38,"Ally",0))</f>
        <v>Ally</v>
      </c>
    </row>
    <row r="61" spans="1:8" x14ac:dyDescent="0.2">
      <c r="D61" t="s">
        <v>111</v>
      </c>
      <c r="E61" t="str">
        <f>IF(E37&gt;H37,"Ally",IF(H37&gt;E37,"Opponent",0))</f>
        <v>Opponent</v>
      </c>
    </row>
    <row r="63" spans="1:8" x14ac:dyDescent="0.2">
      <c r="D63" s="1" t="s">
        <v>146</v>
      </c>
      <c r="E63" t="str">
        <f>IF((COUNTIF(E56, "Yes")*COUNTIF(E58:E61, "Ally"))&gt;(COUNTIF(E57, "Yes")*COUNTIF(E58:E61, "Opponent")), "Ally", IF((COUNTIF(E57,"Yes")*COUNTIF(E58:E61,"Opponent"))&gt;(COUNTIF(E56,"Yes")*COUNTIF(E58:E61,"Ally")),"Opponent","Tie"))</f>
        <v>Opponent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autoFill="0" autoPict="0" macro="[0]!Button1_Click">
                <anchor moveWithCells="1" sizeWithCells="1">
                  <from>
                    <xdr:col>0</xdr:col>
                    <xdr:colOff>266700</xdr:colOff>
                    <xdr:row>35</xdr:row>
                    <xdr:rowOff>88900</xdr:rowOff>
                  </from>
                  <to>
                    <xdr:col>1</xdr:col>
                    <xdr:colOff>304800</xdr:colOff>
                    <xdr:row>40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03" r:id="rId4" name="Button 11">
              <controlPr defaultSize="0" autoFill="0" autoPict="0" macro="[0]!Button11_Click">
                <anchor moveWithCells="1" sizeWithCells="1">
                  <from>
                    <xdr:col>9</xdr:col>
                    <xdr:colOff>12700</xdr:colOff>
                    <xdr:row>38</xdr:row>
                    <xdr:rowOff>12700</xdr:rowOff>
                  </from>
                  <to>
                    <xdr:col>9</xdr:col>
                    <xdr:colOff>927100</xdr:colOff>
                    <xdr:row>42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X61"/>
  <sheetViews>
    <sheetView workbookViewId="0">
      <pane xSplit="1" topLeftCell="V1" activePane="topRight" state="frozen"/>
      <selection pane="topRight" activeCell="AI59" sqref="AI59"/>
    </sheetView>
  </sheetViews>
  <sheetFormatPr baseColWidth="10" defaultColWidth="10.83203125" defaultRowHeight="15" x14ac:dyDescent="0.2"/>
  <cols>
    <col min="1" max="1" width="10.83203125" style="7"/>
    <col min="2" max="2" width="17" style="6" customWidth="1"/>
    <col min="3" max="3" width="16.6640625" style="6" customWidth="1"/>
    <col min="4" max="4" width="17" style="6" customWidth="1"/>
    <col min="5" max="5" width="10.83203125" style="6"/>
    <col min="6" max="7" width="15.6640625" style="6" customWidth="1"/>
    <col min="8" max="8" width="11" style="6" customWidth="1"/>
    <col min="9" max="10" width="10.83203125" style="6"/>
    <col min="11" max="11" width="13.6640625" style="6" customWidth="1"/>
    <col min="12" max="15" width="10.83203125" style="6"/>
    <col min="16" max="16" width="14.1640625" style="6" customWidth="1"/>
    <col min="17" max="17" width="10.83203125" style="6"/>
    <col min="18" max="18" width="14" style="6" customWidth="1"/>
    <col min="19" max="20" width="10.83203125" style="6"/>
    <col min="21" max="21" width="13.1640625" style="6" customWidth="1"/>
    <col min="22" max="23" width="10.83203125" style="6"/>
    <col min="24" max="24" width="12.33203125" style="6" customWidth="1"/>
    <col min="25" max="25" width="10.83203125" style="6"/>
    <col min="26" max="26" width="19.5" style="6" customWidth="1"/>
    <col min="27" max="27" width="15" style="6" customWidth="1"/>
    <col min="28" max="28" width="17.33203125" style="6" customWidth="1"/>
    <col min="29" max="29" width="17.1640625" style="6" customWidth="1"/>
    <col min="30" max="30" width="21.6640625" style="6" customWidth="1"/>
    <col min="31" max="31" width="14.33203125" style="6" customWidth="1"/>
    <col min="32" max="32" width="20.33203125" style="6" customWidth="1"/>
    <col min="33" max="34" width="10.83203125" style="6"/>
    <col min="35" max="35" width="13.6640625" style="6" customWidth="1"/>
    <col min="36" max="16384" width="10.83203125" style="6"/>
  </cols>
  <sheetData>
    <row r="1" spans="1:50" customFormat="1" x14ac:dyDescent="0.2">
      <c r="A1" s="8" t="s">
        <v>18</v>
      </c>
      <c r="B1" s="8" t="s">
        <v>79</v>
      </c>
      <c r="C1" s="8" t="s">
        <v>80</v>
      </c>
      <c r="D1" s="8" t="s">
        <v>154</v>
      </c>
      <c r="E1" s="8"/>
      <c r="F1" s="8" t="s">
        <v>81</v>
      </c>
      <c r="G1" s="8" t="s">
        <v>82</v>
      </c>
      <c r="H1" s="8" t="s">
        <v>83</v>
      </c>
      <c r="I1" s="8" t="s">
        <v>84</v>
      </c>
      <c r="J1" s="8"/>
      <c r="K1" s="8" t="s">
        <v>85</v>
      </c>
      <c r="L1" s="8" t="s">
        <v>86</v>
      </c>
      <c r="M1" s="8" t="s">
        <v>87</v>
      </c>
      <c r="N1" s="8" t="s">
        <v>88</v>
      </c>
      <c r="O1" s="8"/>
      <c r="P1" s="8" t="s">
        <v>89</v>
      </c>
      <c r="Q1" s="8" t="s">
        <v>90</v>
      </c>
      <c r="R1" s="8" t="s">
        <v>91</v>
      </c>
      <c r="S1" s="8" t="s">
        <v>95</v>
      </c>
      <c r="T1" s="8"/>
      <c r="U1" s="8" t="s">
        <v>53</v>
      </c>
      <c r="V1" s="8" t="s">
        <v>56</v>
      </c>
      <c r="W1" s="8"/>
      <c r="X1" s="8" t="s">
        <v>96</v>
      </c>
      <c r="Y1" s="8" t="s">
        <v>101</v>
      </c>
      <c r="Z1" s="8" t="s">
        <v>92</v>
      </c>
      <c r="AA1" s="8" t="s">
        <v>102</v>
      </c>
      <c r="AB1" s="8" t="s">
        <v>159</v>
      </c>
      <c r="AC1" s="8" t="s">
        <v>93</v>
      </c>
      <c r="AD1" s="8" t="s">
        <v>94</v>
      </c>
      <c r="AE1" s="8" t="s">
        <v>97</v>
      </c>
      <c r="AF1" s="8" t="s">
        <v>98</v>
      </c>
      <c r="AG1" s="8" t="s">
        <v>103</v>
      </c>
      <c r="AH1" s="8"/>
      <c r="AI1" s="8" t="s">
        <v>152</v>
      </c>
    </row>
    <row r="2" spans="1:50" x14ac:dyDescent="0.2">
      <c r="A2" s="4">
        <v>11</v>
      </c>
      <c r="B2" s="5" t="e">
        <f>'11'!$D$20</f>
        <v>#DIV/0!</v>
      </c>
      <c r="C2" s="5" t="e">
        <f>'11'!$F$20</f>
        <v>#DIV/0!</v>
      </c>
      <c r="D2" s="5" t="e">
        <f>'11'!$D$29</f>
        <v>#DIV/0!</v>
      </c>
      <c r="E2" s="5"/>
      <c r="F2" s="5">
        <f>'11'!$I$21</f>
        <v>1</v>
      </c>
      <c r="G2" s="5">
        <f>'11'!$I$24</f>
        <v>8.3333333333333329E-2</v>
      </c>
      <c r="H2" s="5">
        <f>'11'!$J$24</f>
        <v>1</v>
      </c>
      <c r="I2" s="5">
        <f>'11'!$K$24</f>
        <v>0.28867513459481287</v>
      </c>
      <c r="J2" s="5"/>
      <c r="K2" s="5">
        <f>'11'!$I$26</f>
        <v>0.92592592592592593</v>
      </c>
      <c r="L2" s="5">
        <f>'11'!$I$29</f>
        <v>2.0833333333333335</v>
      </c>
      <c r="M2" s="5">
        <f>'11'!$J$29</f>
        <v>6</v>
      </c>
      <c r="N2" s="5">
        <f>'11'!$K$29</f>
        <v>1.9286515936521478</v>
      </c>
      <c r="O2" s="5"/>
      <c r="P2" s="5">
        <f>'11'!$I$34</f>
        <v>4.916666666666667</v>
      </c>
      <c r="Q2" s="5">
        <f>'11'!$J$34</f>
        <v>9</v>
      </c>
      <c r="R2" s="5">
        <f>'11'!$K$34</f>
        <v>4.0330077504452575</v>
      </c>
      <c r="S2" s="5">
        <f>'11'!$J$37</f>
        <v>6</v>
      </c>
      <c r="T2" s="5"/>
      <c r="U2" s="5">
        <f>'11'!$N$28</f>
        <v>0.12962962962962962</v>
      </c>
      <c r="V2" s="5">
        <f>'11'!$N$30</f>
        <v>0.87037037037037035</v>
      </c>
      <c r="W2" s="5"/>
      <c r="X2" s="5">
        <f>'11'!$S$20</f>
        <v>0</v>
      </c>
      <c r="Y2" s="5">
        <f>'11'!$T$16</f>
        <v>0</v>
      </c>
      <c r="Z2" s="5">
        <f>'11'!$S$22</f>
        <v>1</v>
      </c>
      <c r="AA2" s="5">
        <f>'11'!$V$16</f>
        <v>1</v>
      </c>
      <c r="AB2" s="5">
        <f>'11'!$S$30</f>
        <v>0.28867513459481287</v>
      </c>
      <c r="AC2" s="5" t="e">
        <f>'11'!$U$22</f>
        <v>#DIV/0!</v>
      </c>
      <c r="AD2" s="5">
        <f>'11'!$U$24</f>
        <v>1</v>
      </c>
      <c r="AE2" s="5" t="e">
        <f>'11'!$S$27</f>
        <v>#DIV/0!</v>
      </c>
      <c r="AF2" s="5">
        <f>'11'!$T$27</f>
        <v>0</v>
      </c>
      <c r="AG2" s="5">
        <f>'11'!$X$16</f>
        <v>7</v>
      </c>
      <c r="AH2" s="5"/>
      <c r="AI2" s="5">
        <f>'11'!$A$19</f>
        <v>12</v>
      </c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</row>
    <row r="3" spans="1:50" x14ac:dyDescent="0.2">
      <c r="A3" s="4">
        <v>25</v>
      </c>
      <c r="B3" s="5">
        <f>'25'!$D$20</f>
        <v>0.44444444444444442</v>
      </c>
      <c r="C3" s="5">
        <f>'25'!$F$20</f>
        <v>1</v>
      </c>
      <c r="D3" s="5">
        <f>'25'!$D$29</f>
        <v>0.70710678118654757</v>
      </c>
      <c r="E3" s="5"/>
      <c r="F3" s="5">
        <f>'25'!$I$21</f>
        <v>0.78688524590163933</v>
      </c>
      <c r="G3" s="5">
        <f>'25'!$I$24</f>
        <v>4</v>
      </c>
      <c r="H3" s="5">
        <f>'25'!$J$24</f>
        <v>6</v>
      </c>
      <c r="I3" s="5">
        <f>'25'!$K$24</f>
        <v>2.088931871468374</v>
      </c>
      <c r="J3" s="5"/>
      <c r="K3" s="5">
        <f>'25'!$I$26</f>
        <v>1</v>
      </c>
      <c r="L3" s="5">
        <f>'25'!$I$29</f>
        <v>1.6666666666666667</v>
      </c>
      <c r="M3" s="5">
        <f>'25'!$J$29</f>
        <v>3</v>
      </c>
      <c r="N3" s="5">
        <f>'25'!$K$29</f>
        <v>1.2309149097933272</v>
      </c>
      <c r="O3" s="5"/>
      <c r="P3" s="5">
        <f>'25'!$I$34</f>
        <v>2.1666666666666665</v>
      </c>
      <c r="Q3" s="5">
        <f>'25'!$J$34</f>
        <v>8</v>
      </c>
      <c r="R3" s="5">
        <f>'25'!$K$34</f>
        <v>2.7906771199618898</v>
      </c>
      <c r="S3" s="5">
        <f>'25'!$J$37</f>
        <v>4</v>
      </c>
      <c r="T3" s="5"/>
      <c r="U3" s="5">
        <f>'25'!$N$28</f>
        <v>0.15315315315315314</v>
      </c>
      <c r="V3" s="5">
        <f>'25'!$N$30</f>
        <v>0.84684684684684686</v>
      </c>
      <c r="W3" s="5"/>
      <c r="X3" s="5">
        <f>'25'!$S$20</f>
        <v>0</v>
      </c>
      <c r="Y3" s="5">
        <f>'25'!$T$16</f>
        <v>0</v>
      </c>
      <c r="Z3" s="5">
        <f>'25'!$S$22</f>
        <v>0.5</v>
      </c>
      <c r="AA3" s="5">
        <f>'25'!$V$16</f>
        <v>1</v>
      </c>
      <c r="AB3" s="5">
        <f>'25'!$S$30</f>
        <v>0.28867513459481287</v>
      </c>
      <c r="AC3" s="5" t="e">
        <f>'25'!$U$22</f>
        <v>#DIV/0!</v>
      </c>
      <c r="AD3" s="5">
        <f>'25'!$U$24</f>
        <v>0.5</v>
      </c>
      <c r="AE3" s="5" t="e">
        <f>'25'!$S$27</f>
        <v>#DIV/0!</v>
      </c>
      <c r="AF3" s="5">
        <f>'25'!$T$27</f>
        <v>0</v>
      </c>
      <c r="AG3" s="5">
        <f>'25'!$X$16</f>
        <v>11</v>
      </c>
      <c r="AH3" s="5"/>
      <c r="AI3" s="5">
        <f>'25'!$A$19</f>
        <v>12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</row>
    <row r="4" spans="1:50" x14ac:dyDescent="0.2">
      <c r="A4" s="4">
        <v>41</v>
      </c>
      <c r="B4" s="5">
        <f>'41'!$D$20</f>
        <v>0.33333333333333331</v>
      </c>
      <c r="C4" s="5">
        <f>'41'!$F$20</f>
        <v>0.5</v>
      </c>
      <c r="D4" s="5">
        <f>'41'!$D$29</f>
        <v>0.57735026918962573</v>
      </c>
      <c r="E4" s="5"/>
      <c r="F4" s="5">
        <f>'41'!$I$21</f>
        <v>0.90697674418604646</v>
      </c>
      <c r="G4" s="5">
        <f>'41'!$I$24</f>
        <v>3.25</v>
      </c>
      <c r="H4" s="5">
        <f>'41'!$J$24</f>
        <v>6</v>
      </c>
      <c r="I4" s="5">
        <f>'41'!$K$24</f>
        <v>2.050498830661811</v>
      </c>
      <c r="J4" s="5"/>
      <c r="K4" s="5">
        <f>'41'!$I$26</f>
        <v>1</v>
      </c>
      <c r="L4" s="5">
        <f>'41'!$I$29</f>
        <v>0.16666666666666666</v>
      </c>
      <c r="M4" s="5">
        <f>'41'!$J$29</f>
        <v>1</v>
      </c>
      <c r="N4" s="5">
        <f>'41'!$K$29</f>
        <v>0.38924947208076149</v>
      </c>
      <c r="O4" s="5"/>
      <c r="P4" s="5">
        <f>'41'!$I$34</f>
        <v>0.91666666666666663</v>
      </c>
      <c r="Q4" s="5">
        <f>'41'!$J$34</f>
        <v>5</v>
      </c>
      <c r="R4" s="5">
        <f>'41'!$K$34</f>
        <v>1.6213537179739277</v>
      </c>
      <c r="S4" s="5">
        <f>'41'!$J$37</f>
        <v>2</v>
      </c>
      <c r="T4" s="5"/>
      <c r="U4" s="5">
        <f>'41'!$N$28</f>
        <v>8.3333333333333329E-2</v>
      </c>
      <c r="V4" s="5">
        <f>'41'!$N$30</f>
        <v>0.91666666666666663</v>
      </c>
      <c r="W4" s="5"/>
      <c r="X4" s="5">
        <f>'41'!$S$20</f>
        <v>0</v>
      </c>
      <c r="Y4" s="5">
        <f>'41'!$T$16</f>
        <v>0</v>
      </c>
      <c r="Z4" s="5">
        <f>'41'!$S$22</f>
        <v>1</v>
      </c>
      <c r="AA4" s="5">
        <f>'41'!$V$16</f>
        <v>1</v>
      </c>
      <c r="AB4" s="5">
        <f>'41'!$S$30</f>
        <v>0.28867513459481287</v>
      </c>
      <c r="AC4" s="5">
        <f>'41'!$U$22</f>
        <v>1</v>
      </c>
      <c r="AD4" s="5" t="e">
        <f>'41'!$U$24</f>
        <v>#DIV/0!</v>
      </c>
      <c r="AE4" s="5" t="e">
        <f>'41'!$S$27</f>
        <v>#DIV/0!</v>
      </c>
      <c r="AF4" s="5">
        <f>'41'!$T$27</f>
        <v>0</v>
      </c>
      <c r="AG4" s="5">
        <f>'41'!$X$16</f>
        <v>11</v>
      </c>
      <c r="AH4" s="5"/>
      <c r="AI4" s="5">
        <f>'41'!$A$19</f>
        <v>12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">
      <c r="A5" s="4">
        <v>56</v>
      </c>
      <c r="B5" s="5">
        <f>'56'!$D$20</f>
        <v>0</v>
      </c>
      <c r="C5" s="5">
        <f>'56'!$F$20</f>
        <v>1</v>
      </c>
      <c r="D5" s="5">
        <f>'56'!$D$29</f>
        <v>0</v>
      </c>
      <c r="E5" s="5"/>
      <c r="F5" s="5">
        <f>'56'!$I$21</f>
        <v>0.92063492063492058</v>
      </c>
      <c r="G5" s="5">
        <f>'56'!$I$24</f>
        <v>4.833333333333333</v>
      </c>
      <c r="H5" s="5">
        <f>'56'!$J$24</f>
        <v>8</v>
      </c>
      <c r="I5" s="5">
        <f>'56'!$K$24</f>
        <v>2.0816659994661331</v>
      </c>
      <c r="J5" s="5"/>
      <c r="K5" s="5">
        <f>'56'!$I$26</f>
        <v>1</v>
      </c>
      <c r="L5" s="5">
        <f>'56'!$I$29</f>
        <v>0.75</v>
      </c>
      <c r="M5" s="5">
        <f>'56'!$J$29</f>
        <v>4</v>
      </c>
      <c r="N5" s="5">
        <f>'56'!$K$29</f>
        <v>1.3568010505999362</v>
      </c>
      <c r="O5" s="5"/>
      <c r="P5" s="5">
        <f>'56'!$I$34</f>
        <v>0.41666666666666669</v>
      </c>
      <c r="Q5" s="5">
        <f>'56'!$J$34</f>
        <v>5</v>
      </c>
      <c r="R5" s="5">
        <f>'56'!$K$34</f>
        <v>1.4433756729740645</v>
      </c>
      <c r="S5" s="5">
        <f>'56'!$J$37</f>
        <v>3</v>
      </c>
      <c r="T5" s="5"/>
      <c r="U5" s="5">
        <f>'56'!$N$28</f>
        <v>0.19318181818181818</v>
      </c>
      <c r="V5" s="5">
        <f>'56'!$N$30</f>
        <v>0.80681818181818177</v>
      </c>
      <c r="W5" s="5"/>
      <c r="X5" s="5">
        <f>'56'!$S$20</f>
        <v>0</v>
      </c>
      <c r="Y5" s="5">
        <f>'56'!$T$16</f>
        <v>0</v>
      </c>
      <c r="Z5" s="5">
        <f>'56'!$S$22</f>
        <v>0.88888888888888884</v>
      </c>
      <c r="AA5" s="5">
        <f>'56'!$V$16</f>
        <v>8</v>
      </c>
      <c r="AB5" s="5">
        <f>'56'!$S$30</f>
        <v>0.49236596391733095</v>
      </c>
      <c r="AC5" s="5">
        <f>'56'!$U$22</f>
        <v>0.875</v>
      </c>
      <c r="AD5" s="5">
        <f>'56'!$U$24</f>
        <v>1</v>
      </c>
      <c r="AE5" s="5" t="e">
        <f>'56'!$S$27</f>
        <v>#DIV/0!</v>
      </c>
      <c r="AF5" s="5">
        <f>'56'!$T$27</f>
        <v>0</v>
      </c>
      <c r="AG5" s="5">
        <f>'56'!$X$16</f>
        <v>4</v>
      </c>
      <c r="AH5" s="5"/>
      <c r="AI5" s="5">
        <f>'56'!$A$19</f>
        <v>12</v>
      </c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">
      <c r="A6" s="4">
        <v>75</v>
      </c>
      <c r="B6" s="5">
        <f>'75'!$D$20</f>
        <v>0.4</v>
      </c>
      <c r="C6" s="5">
        <f>'75'!$F$20</f>
        <v>1</v>
      </c>
      <c r="D6" s="5">
        <f>'75'!$D$29</f>
        <v>0</v>
      </c>
      <c r="E6" s="5"/>
      <c r="F6" s="5">
        <f>'75'!$I$21</f>
        <v>0.7857142857142857</v>
      </c>
      <c r="G6" s="5">
        <f>'75'!$I$24</f>
        <v>1.8333333333333333</v>
      </c>
      <c r="H6" s="5">
        <f>'75'!$J$24</f>
        <v>4</v>
      </c>
      <c r="I6" s="5">
        <f>'75'!$K$24</f>
        <v>1.5859229221975182</v>
      </c>
      <c r="J6" s="5"/>
      <c r="K6" s="5">
        <f>'75'!$I$26</f>
        <v>1</v>
      </c>
      <c r="L6" s="5">
        <f>'75'!$I$29</f>
        <v>0.66666666666666663</v>
      </c>
      <c r="M6" s="5">
        <f>'75'!$J$29</f>
        <v>5</v>
      </c>
      <c r="N6" s="5">
        <f>'75'!$K$29</f>
        <v>1.4974726182552529</v>
      </c>
      <c r="O6" s="5"/>
      <c r="P6" s="5">
        <f>'75'!$I$34</f>
        <v>2.0833333333333335</v>
      </c>
      <c r="Q6" s="5">
        <f>'75'!$J$34</f>
        <v>9</v>
      </c>
      <c r="R6" s="5">
        <f>'75'!$K$34</f>
        <v>3.5021638332824341</v>
      </c>
      <c r="S6" s="5">
        <f>'75'!$J$37</f>
        <v>3</v>
      </c>
      <c r="T6" s="5"/>
      <c r="U6" s="5">
        <f>'75'!$N$28</f>
        <v>9.2105263157894732E-2</v>
      </c>
      <c r="V6" s="5">
        <f>'75'!$N$30</f>
        <v>0.90789473684210531</v>
      </c>
      <c r="W6" s="5"/>
      <c r="X6" s="5">
        <f>'75'!$S$20</f>
        <v>0</v>
      </c>
      <c r="Y6" s="5">
        <f>'75'!$T$16</f>
        <v>0</v>
      </c>
      <c r="Z6" s="5">
        <f>'75'!$S$22</f>
        <v>0.66666666666666663</v>
      </c>
      <c r="AA6" s="5">
        <f>'75'!$V$16</f>
        <v>2</v>
      </c>
      <c r="AB6" s="5">
        <f>'75'!$S$30</f>
        <v>0.38924947208076149</v>
      </c>
      <c r="AC6" s="5">
        <f>'75'!$U$22</f>
        <v>0.66666666666666663</v>
      </c>
      <c r="AD6" s="5" t="e">
        <f>'75'!$U$24</f>
        <v>#DIV/0!</v>
      </c>
      <c r="AE6" s="5" t="e">
        <f>'75'!$S$27</f>
        <v>#DIV/0!</v>
      </c>
      <c r="AF6" s="5">
        <f>'75'!$T$27</f>
        <v>0</v>
      </c>
      <c r="AG6" s="5">
        <f>'75'!$X$16</f>
        <v>10</v>
      </c>
      <c r="AH6" s="5"/>
      <c r="AI6" s="5">
        <f>'75'!$A$19</f>
        <v>12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">
      <c r="A7" s="4">
        <v>102</v>
      </c>
      <c r="B7" s="5">
        <f>'102'!$D$20</f>
        <v>0.8</v>
      </c>
      <c r="C7" s="5">
        <f>'102'!$F$20</f>
        <v>1</v>
      </c>
      <c r="D7" s="5" t="e">
        <f>'102'!$D$29</f>
        <v>#DIV/0!</v>
      </c>
      <c r="E7" s="5"/>
      <c r="F7" s="5">
        <f>'102'!$I$21</f>
        <v>0.86538461538461542</v>
      </c>
      <c r="G7" s="5">
        <f>'102'!$I$24</f>
        <v>3.75</v>
      </c>
      <c r="H7" s="5">
        <f>'102'!$J$24</f>
        <v>6</v>
      </c>
      <c r="I7" s="5">
        <f>'102'!$K$24</f>
        <v>1.2154310870109943</v>
      </c>
      <c r="J7" s="5"/>
      <c r="K7" s="5">
        <f>'102'!$I$26</f>
        <v>0.75</v>
      </c>
      <c r="L7" s="5">
        <f>'102'!$I$29</f>
        <v>0.5</v>
      </c>
      <c r="M7" s="5">
        <f>'102'!$J$29</f>
        <v>2</v>
      </c>
      <c r="N7" s="5">
        <f>'102'!$K$29</f>
        <v>0.7977240352174656</v>
      </c>
      <c r="O7" s="5"/>
      <c r="P7" s="5">
        <f>'102'!$I$34</f>
        <v>0.25</v>
      </c>
      <c r="Q7" s="5">
        <f>'102'!$J$34</f>
        <v>2</v>
      </c>
      <c r="R7" s="5">
        <f>'102'!$K$34</f>
        <v>0.62158156050806102</v>
      </c>
      <c r="S7" s="5">
        <f>'102'!$J$37</f>
        <v>2</v>
      </c>
      <c r="T7" s="5"/>
      <c r="U7" s="5">
        <f>'102'!$N$28</f>
        <v>6.1538461538461542E-2</v>
      </c>
      <c r="V7" s="5">
        <f>'102'!$N$30</f>
        <v>0.93846153846153846</v>
      </c>
      <c r="W7" s="5"/>
      <c r="X7" s="5">
        <f>'102'!$S$20</f>
        <v>0</v>
      </c>
      <c r="Y7" s="5">
        <f>'102'!$T$16</f>
        <v>0</v>
      </c>
      <c r="Z7" s="5">
        <f>'102'!$S$22</f>
        <v>1</v>
      </c>
      <c r="AA7" s="5">
        <f>'102'!$V$16</f>
        <v>6</v>
      </c>
      <c r="AB7" s="5">
        <f>'102'!$S$30</f>
        <v>0.5222329678670935</v>
      </c>
      <c r="AC7" s="5">
        <f>'102'!$U$22</f>
        <v>1</v>
      </c>
      <c r="AD7" s="5">
        <f>'102'!$U$24</f>
        <v>1</v>
      </c>
      <c r="AE7" s="5" t="e">
        <f>'102'!$S$27</f>
        <v>#DIV/0!</v>
      </c>
      <c r="AF7" s="5">
        <f>'102'!$T$27</f>
        <v>0</v>
      </c>
      <c r="AG7" s="5">
        <f>'102'!$X$16</f>
        <v>3</v>
      </c>
      <c r="AH7" s="5"/>
      <c r="AI7" s="5">
        <f>'102'!$A$19</f>
        <v>12</v>
      </c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">
      <c r="A8" s="4">
        <v>103</v>
      </c>
      <c r="B8" s="5">
        <f>'103'!$D$20</f>
        <v>0.66666666666666663</v>
      </c>
      <c r="C8" s="5">
        <f>'103'!$F$20</f>
        <v>1</v>
      </c>
      <c r="D8" s="5">
        <f>'103'!$D$29</f>
        <v>0</v>
      </c>
      <c r="E8" s="5"/>
      <c r="F8" s="5">
        <f>'103'!$I$21</f>
        <v>0.9</v>
      </c>
      <c r="G8" s="5">
        <f>'103'!$I$24</f>
        <v>2.25</v>
      </c>
      <c r="H8" s="5">
        <f>'103'!$J$24</f>
        <v>6</v>
      </c>
      <c r="I8" s="5">
        <f>'103'!$K$24</f>
        <v>2.2207697273283831</v>
      </c>
      <c r="J8" s="5"/>
      <c r="K8" s="5">
        <f>'103'!$I$26</f>
        <v>1</v>
      </c>
      <c r="L8" s="5">
        <f>'103'!$I$29</f>
        <v>8.3333333333333329E-2</v>
      </c>
      <c r="M8" s="5">
        <f>'103'!$J$29</f>
        <v>1</v>
      </c>
      <c r="N8" s="5">
        <f>'103'!$K$29</f>
        <v>0.28867513459481287</v>
      </c>
      <c r="O8" s="5"/>
      <c r="P8" s="5">
        <f>'103'!$I$34</f>
        <v>2.3333333333333335</v>
      </c>
      <c r="Q8" s="5">
        <f>'103'!$J$34</f>
        <v>9</v>
      </c>
      <c r="R8" s="5">
        <f>'103'!$K$34</f>
        <v>3.5760143718781094</v>
      </c>
      <c r="S8" s="5">
        <f>'103'!$J$37</f>
        <v>8</v>
      </c>
      <c r="T8" s="5"/>
      <c r="U8" s="5">
        <f>'103'!$N$28</f>
        <v>0.22352941176470589</v>
      </c>
      <c r="V8" s="5">
        <f>'103'!$N$30</f>
        <v>0.77647058823529413</v>
      </c>
      <c r="W8" s="5"/>
      <c r="X8" s="5">
        <f>'103'!$S$20</f>
        <v>0</v>
      </c>
      <c r="Y8" s="5">
        <f>'103'!$T$16</f>
        <v>0</v>
      </c>
      <c r="Z8" s="5">
        <f>'103'!$S$22</f>
        <v>1</v>
      </c>
      <c r="AA8" s="5">
        <f>'103'!$V$16</f>
        <v>1</v>
      </c>
      <c r="AB8" s="5">
        <f>'103'!$S$30</f>
        <v>0.28867513459481287</v>
      </c>
      <c r="AC8" s="5">
        <f>'103'!$U$22</f>
        <v>1</v>
      </c>
      <c r="AD8" s="5" t="e">
        <f>'103'!$U$24</f>
        <v>#DIV/0!</v>
      </c>
      <c r="AE8" s="5" t="e">
        <f>'103'!$S$27</f>
        <v>#DIV/0!</v>
      </c>
      <c r="AF8" s="5">
        <f>'103'!$T$27</f>
        <v>0</v>
      </c>
      <c r="AG8" s="5">
        <f>'103'!$X$16</f>
        <v>8</v>
      </c>
      <c r="AH8" s="5"/>
      <c r="AI8" s="5">
        <f>'103'!$A$19</f>
        <v>12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">
      <c r="A9" s="4">
        <v>203</v>
      </c>
      <c r="B9" s="5" t="e">
        <f>'203'!$D$20</f>
        <v>#DIV/0!</v>
      </c>
      <c r="C9" s="5">
        <f>'203'!$F$20</f>
        <v>0.5</v>
      </c>
      <c r="D9" s="5">
        <f>'203'!$D$29</f>
        <v>0.53452248382484879</v>
      </c>
      <c r="E9" s="5"/>
      <c r="F9" s="5">
        <f>'203'!$I$21</f>
        <v>0.83333333333333337</v>
      </c>
      <c r="G9" s="5">
        <f>'203'!$I$24</f>
        <v>2.0833333333333335</v>
      </c>
      <c r="H9" s="5">
        <f>'203'!$J$24</f>
        <v>4</v>
      </c>
      <c r="I9" s="5">
        <f>'203'!$K$24</f>
        <v>1.6213537179739277</v>
      </c>
      <c r="J9" s="5"/>
      <c r="K9" s="5">
        <f>'203'!$I$26</f>
        <v>0.9</v>
      </c>
      <c r="L9" s="5">
        <f>'203'!$I$29</f>
        <v>0.75</v>
      </c>
      <c r="M9" s="5">
        <f>'203'!$J$29</f>
        <v>2</v>
      </c>
      <c r="N9" s="5">
        <f>'203'!$K$29</f>
        <v>0.62158156050806102</v>
      </c>
      <c r="O9" s="5"/>
      <c r="P9" s="5">
        <f>'203'!$I$34</f>
        <v>2.1666666666666665</v>
      </c>
      <c r="Q9" s="5">
        <f>'203'!$J$34</f>
        <v>9</v>
      </c>
      <c r="R9" s="5">
        <f>'203'!$K$34</f>
        <v>3.2983007562664564</v>
      </c>
      <c r="S9" s="5">
        <f>'203'!$J$37</f>
        <v>3</v>
      </c>
      <c r="T9" s="5"/>
      <c r="U9" s="5">
        <f>'203'!$N$28</f>
        <v>7.2463768115942032E-2</v>
      </c>
      <c r="V9" s="5">
        <f>'203'!$N$30</f>
        <v>0.92753623188405798</v>
      </c>
      <c r="W9" s="5"/>
      <c r="X9" s="5">
        <f>'203'!$S$20</f>
        <v>0</v>
      </c>
      <c r="Y9" s="5">
        <f>'203'!$T$16</f>
        <v>0</v>
      </c>
      <c r="Z9" s="5">
        <f>'203'!$S$22</f>
        <v>0.44444444444444442</v>
      </c>
      <c r="AA9" s="5">
        <f>'203'!$V$16</f>
        <v>4</v>
      </c>
      <c r="AB9" s="5">
        <f>'203'!$S$30</f>
        <v>0.49236596391733095</v>
      </c>
      <c r="AC9" s="5">
        <f>'203'!$U$22</f>
        <v>0.375</v>
      </c>
      <c r="AD9" s="5" t="e">
        <f>'203'!$U$24</f>
        <v>#DIV/0!</v>
      </c>
      <c r="AE9" s="5" t="e">
        <f>'203'!$S$27</f>
        <v>#DIV/0!</v>
      </c>
      <c r="AF9" s="5">
        <f>'203'!$T$27</f>
        <v>0</v>
      </c>
      <c r="AG9" s="5">
        <f>'203'!$X$16</f>
        <v>7</v>
      </c>
      <c r="AH9" s="5"/>
      <c r="AI9" s="5">
        <f>'203'!$A$19</f>
        <v>12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">
      <c r="A10" s="4">
        <v>219</v>
      </c>
      <c r="B10" s="5">
        <f>'219'!$D$20</f>
        <v>0.72727272727272729</v>
      </c>
      <c r="C10" s="5">
        <f>'219'!$F$20</f>
        <v>1</v>
      </c>
      <c r="D10" s="5" t="e">
        <f>'219'!$D$29</f>
        <v>#DIV/0!</v>
      </c>
      <c r="E10" s="5"/>
      <c r="F10" s="5">
        <f>'219'!$I$21</f>
        <v>0.63829787234042556</v>
      </c>
      <c r="G10" s="5">
        <f>'219'!$I$24</f>
        <v>2.5</v>
      </c>
      <c r="H10" s="5">
        <f>'219'!$J$24</f>
        <v>5</v>
      </c>
      <c r="I10" s="5">
        <f>'219'!$K$24</f>
        <v>1.7320508075688772</v>
      </c>
      <c r="J10" s="5"/>
      <c r="K10" s="5">
        <f>'219'!$I$26</f>
        <v>0.75</v>
      </c>
      <c r="L10" s="5">
        <f>'219'!$I$29</f>
        <v>0.5</v>
      </c>
      <c r="M10" s="5">
        <f>'219'!$J$29</f>
        <v>2</v>
      </c>
      <c r="N10" s="5">
        <f>'219'!$K$29</f>
        <v>0.7977240352174656</v>
      </c>
      <c r="O10" s="5"/>
      <c r="P10" s="5">
        <f>'219'!$I$34</f>
        <v>0.5</v>
      </c>
      <c r="Q10" s="5">
        <f>'219'!$J$34</f>
        <v>4</v>
      </c>
      <c r="R10" s="5">
        <f>'219'!$K$34</f>
        <v>1.243163121016122</v>
      </c>
      <c r="S10" s="5">
        <f>'219'!$J$37</f>
        <v>3</v>
      </c>
      <c r="T10" s="5"/>
      <c r="U10" s="5">
        <f>'219'!$N$28</f>
        <v>0.15714285714285714</v>
      </c>
      <c r="V10" s="5">
        <f>'219'!$N$30</f>
        <v>0.84285714285714286</v>
      </c>
      <c r="W10" s="5"/>
      <c r="X10" s="5">
        <f>'219'!$S$20</f>
        <v>0</v>
      </c>
      <c r="Y10" s="5">
        <f>'219'!$T$16</f>
        <v>0</v>
      </c>
      <c r="Z10" s="5">
        <f>'219'!$S$22</f>
        <v>0.33333333333333331</v>
      </c>
      <c r="AA10" s="5">
        <f>'219'!$V$16</f>
        <v>1</v>
      </c>
      <c r="AB10" s="5">
        <f>'219'!$S$30</f>
        <v>0.28867513459481287</v>
      </c>
      <c r="AC10" s="5">
        <f>'219'!$U$22</f>
        <v>0</v>
      </c>
      <c r="AD10" s="5">
        <f>'219'!$U$24</f>
        <v>1</v>
      </c>
      <c r="AE10" s="5" t="e">
        <f>'219'!$S$27</f>
        <v>#DIV/0!</v>
      </c>
      <c r="AF10" s="5">
        <f>'219'!$T$27</f>
        <v>0</v>
      </c>
      <c r="AG10" s="5">
        <f>'219'!$X$16</f>
        <v>11</v>
      </c>
      <c r="AH10" s="5"/>
      <c r="AI10" s="5">
        <f>'219'!$A$19</f>
        <v>12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</row>
    <row r="11" spans="1:50" x14ac:dyDescent="0.2">
      <c r="A11" s="4">
        <v>222</v>
      </c>
      <c r="B11" s="5">
        <f>'222'!$D$20</f>
        <v>0.5</v>
      </c>
      <c r="C11" s="5">
        <f>'222'!$F$20</f>
        <v>0.83333333333333337</v>
      </c>
      <c r="D11" s="5">
        <f>'222'!$D$29</f>
        <v>0.40824829046386296</v>
      </c>
      <c r="E11" s="5"/>
      <c r="F11" s="5">
        <f>'222'!$I$21</f>
        <v>0.95</v>
      </c>
      <c r="G11" s="5">
        <f>'222'!$I$24</f>
        <v>1.5833333333333333</v>
      </c>
      <c r="H11" s="5">
        <f>'222'!$J$24</f>
        <v>4</v>
      </c>
      <c r="I11" s="5">
        <f>'222'!$K$24</f>
        <v>1.5050420310248864</v>
      </c>
      <c r="J11" s="5"/>
      <c r="K11" s="5">
        <f>'222'!$I$26</f>
        <v>1</v>
      </c>
      <c r="L11" s="5">
        <f>'222'!$I$29</f>
        <v>0.41666666666666669</v>
      </c>
      <c r="M11" s="5">
        <f>'222'!$J$29</f>
        <v>4</v>
      </c>
      <c r="N11" s="5">
        <f>'222'!$K$29</f>
        <v>1.164500152881315</v>
      </c>
      <c r="O11" s="5"/>
      <c r="P11" s="5">
        <f>'222'!$I$34</f>
        <v>3.6666666666666665</v>
      </c>
      <c r="Q11" s="5">
        <f>'222'!$J$34</f>
        <v>10</v>
      </c>
      <c r="R11" s="5">
        <f>'222'!$K$34</f>
        <v>3.9848196795824875</v>
      </c>
      <c r="S11" s="5">
        <f>'222'!$J$37</f>
        <v>1</v>
      </c>
      <c r="T11" s="5"/>
      <c r="U11" s="5">
        <f>'222'!$N$28</f>
        <v>2.8169014084507043E-2</v>
      </c>
      <c r="V11" s="5">
        <f>'222'!$N$30</f>
        <v>0.971830985915493</v>
      </c>
      <c r="W11" s="5"/>
      <c r="X11" s="5">
        <f>'222'!$S$20</f>
        <v>0</v>
      </c>
      <c r="Y11" s="5">
        <f>'222'!$T$16</f>
        <v>0</v>
      </c>
      <c r="Z11" s="5">
        <f>'222'!$S$22</f>
        <v>0.75</v>
      </c>
      <c r="AA11" s="5">
        <f>'222'!$V$16</f>
        <v>6</v>
      </c>
      <c r="AB11" s="5">
        <f>'222'!$S$30</f>
        <v>0.5222329678670935</v>
      </c>
      <c r="AC11" s="5">
        <f>'222'!$U$22</f>
        <v>0.75</v>
      </c>
      <c r="AD11" s="5" t="e">
        <f>'222'!$U$24</f>
        <v>#DIV/0!</v>
      </c>
      <c r="AE11" s="5" t="e">
        <f>'222'!$S$27</f>
        <v>#DIV/0!</v>
      </c>
      <c r="AF11" s="5">
        <f>'222'!$T$27</f>
        <v>0</v>
      </c>
      <c r="AG11" s="5">
        <f>'222'!$X$16</f>
        <v>6</v>
      </c>
      <c r="AH11" s="5"/>
      <c r="AI11" s="5">
        <f>'222'!$A$19</f>
        <v>12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</row>
    <row r="12" spans="1:50" x14ac:dyDescent="0.2">
      <c r="A12" s="4">
        <v>223</v>
      </c>
      <c r="B12" s="5">
        <f>'223'!$D$20</f>
        <v>0.5714285714285714</v>
      </c>
      <c r="C12" s="5">
        <f>'223'!$F$20</f>
        <v>0.25</v>
      </c>
      <c r="D12" s="5">
        <f>'223'!$D$29</f>
        <v>0.5</v>
      </c>
      <c r="E12" s="5"/>
      <c r="F12" s="5">
        <f>'223'!$I$21</f>
        <v>0.69444444444444442</v>
      </c>
      <c r="G12" s="5">
        <f>'223'!$I$24</f>
        <v>2.0833333333333335</v>
      </c>
      <c r="H12" s="5">
        <f>'223'!$J$24</f>
        <v>4</v>
      </c>
      <c r="I12" s="5">
        <f>'223'!$K$24</f>
        <v>1.378954368902449</v>
      </c>
      <c r="J12" s="5"/>
      <c r="K12" s="5">
        <f>'223'!$I$26</f>
        <v>0.94117647058823528</v>
      </c>
      <c r="L12" s="5">
        <f>'223'!$I$29</f>
        <v>1.3333333333333333</v>
      </c>
      <c r="M12" s="5">
        <f>'223'!$J$29</f>
        <v>4</v>
      </c>
      <c r="N12" s="5">
        <f>'223'!$K$29</f>
        <v>1.3706888336846839</v>
      </c>
      <c r="O12" s="5"/>
      <c r="P12" s="5">
        <f>'223'!$I$34</f>
        <v>2.8333333333333335</v>
      </c>
      <c r="Q12" s="5">
        <f>'223'!$J$34</f>
        <v>8</v>
      </c>
      <c r="R12" s="5">
        <f>'223'!$K$34</f>
        <v>2.9180732539042804</v>
      </c>
      <c r="S12" s="5">
        <f>'223'!$J$37</f>
        <v>0</v>
      </c>
      <c r="T12" s="5"/>
      <c r="U12" s="5">
        <f>'223'!$N$28</f>
        <v>6.3157894736842107E-2</v>
      </c>
      <c r="V12" s="5">
        <f>'223'!$N$30</f>
        <v>0.93684210526315792</v>
      </c>
      <c r="W12" s="5"/>
      <c r="X12" s="5">
        <f>'223'!$S$20</f>
        <v>0</v>
      </c>
      <c r="Y12" s="5">
        <f>'223'!$T$16</f>
        <v>0</v>
      </c>
      <c r="Z12" s="5">
        <f>'223'!$S$22</f>
        <v>0.83333333333333337</v>
      </c>
      <c r="AA12" s="5">
        <f>'223'!$V$16</f>
        <v>5</v>
      </c>
      <c r="AB12" s="5">
        <f>'223'!$S$30</f>
        <v>0.51492865054443726</v>
      </c>
      <c r="AC12" s="5">
        <f>'223'!$U$22</f>
        <v>0.8</v>
      </c>
      <c r="AD12" s="5">
        <f>'223'!$U$24</f>
        <v>1</v>
      </c>
      <c r="AE12" s="5" t="e">
        <f>'223'!$S$27</f>
        <v>#DIV/0!</v>
      </c>
      <c r="AF12" s="5">
        <f>'223'!$T$27</f>
        <v>0</v>
      </c>
      <c r="AG12" s="5">
        <f>'223'!$X$16</f>
        <v>6</v>
      </c>
      <c r="AH12" s="5"/>
      <c r="AI12" s="5">
        <f>'223'!$A$19</f>
        <v>12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</row>
    <row r="13" spans="1:50" x14ac:dyDescent="0.2">
      <c r="A13" s="4">
        <v>225</v>
      </c>
      <c r="B13" s="5">
        <f>'225'!$D$20</f>
        <v>1</v>
      </c>
      <c r="C13" s="5" t="e">
        <f>'225'!$F$20</f>
        <v>#DIV/0!</v>
      </c>
      <c r="D13" s="5" t="e">
        <f>'225'!$D$29</f>
        <v>#DIV/0!</v>
      </c>
      <c r="E13" s="5"/>
      <c r="F13" s="5">
        <f>'225'!$I$21</f>
        <v>0.86956521739130432</v>
      </c>
      <c r="G13" s="5">
        <f>'225'!$I$24</f>
        <v>2</v>
      </c>
      <c r="H13" s="5">
        <f>'225'!$J$24</f>
        <v>5</v>
      </c>
      <c r="I13" s="5">
        <f>'225'!$K$24</f>
        <v>1.8856180831641267</v>
      </c>
      <c r="J13" s="5"/>
      <c r="K13" s="5">
        <f>'225'!$I$26</f>
        <v>1</v>
      </c>
      <c r="L13" s="5">
        <f>'225'!$I$29</f>
        <v>0.8</v>
      </c>
      <c r="M13" s="5">
        <f>'225'!$J$29</f>
        <v>3</v>
      </c>
      <c r="N13" s="5">
        <f>'225'!$K$29</f>
        <v>1.1352924243950933</v>
      </c>
      <c r="O13" s="5"/>
      <c r="P13" s="5">
        <f>'225'!$I$34</f>
        <v>2.2000000000000002</v>
      </c>
      <c r="Q13" s="5">
        <f>'225'!$J$34</f>
        <v>7</v>
      </c>
      <c r="R13" s="5">
        <f>'225'!$K$34</f>
        <v>2.780887148615228</v>
      </c>
      <c r="S13" s="5">
        <f>'225'!$J$37</f>
        <v>7</v>
      </c>
      <c r="T13" s="5"/>
      <c r="U13" s="5">
        <f>'225'!$N$28</f>
        <v>0.18604651162790697</v>
      </c>
      <c r="V13" s="5">
        <f>'225'!$N$30</f>
        <v>0.81395348837209303</v>
      </c>
      <c r="W13" s="5"/>
      <c r="X13" s="5">
        <f>'225'!$S$20</f>
        <v>0</v>
      </c>
      <c r="Y13" s="5">
        <f>'225'!$T$16</f>
        <v>0</v>
      </c>
      <c r="Z13" s="5">
        <f>'225'!$S$22</f>
        <v>1</v>
      </c>
      <c r="AA13" s="5">
        <f>'225'!$V$16</f>
        <v>9</v>
      </c>
      <c r="AB13" s="5">
        <f>'225'!$S$30</f>
        <v>0.316227766016838</v>
      </c>
      <c r="AC13" s="5">
        <f>'225'!$U$22</f>
        <v>1</v>
      </c>
      <c r="AD13" s="5">
        <f>'225'!$U$24</f>
        <v>1</v>
      </c>
      <c r="AE13" s="5" t="e">
        <f>'225'!$S$27</f>
        <v>#DIV/0!</v>
      </c>
      <c r="AF13" s="5">
        <f>'225'!$T$27</f>
        <v>0</v>
      </c>
      <c r="AG13" s="5">
        <f>'225'!$X$16</f>
        <v>2</v>
      </c>
      <c r="AH13" s="5"/>
      <c r="AI13" s="5">
        <f>'225'!$A$19</f>
        <v>10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</row>
    <row r="14" spans="1:50" x14ac:dyDescent="0.2">
      <c r="A14" s="4">
        <v>272</v>
      </c>
      <c r="B14" s="5">
        <f>'272'!$D$20</f>
        <v>1</v>
      </c>
      <c r="C14" s="5">
        <f>'272'!$F$20</f>
        <v>0.77777777777777779</v>
      </c>
      <c r="D14" s="5">
        <f>'272'!$D$29</f>
        <v>0.44095855184409838</v>
      </c>
      <c r="E14" s="5"/>
      <c r="F14" s="5">
        <f>'272'!$I$21</f>
        <v>0.7142857142857143</v>
      </c>
      <c r="G14" s="5">
        <f>'272'!$I$24</f>
        <v>0.41666666666666669</v>
      </c>
      <c r="H14" s="5">
        <f>'272'!$J$24</f>
        <v>2</v>
      </c>
      <c r="I14" s="5">
        <f>'272'!$K$24</f>
        <v>0.66855792342152143</v>
      </c>
      <c r="J14" s="5"/>
      <c r="K14" s="5">
        <f>'272'!$I$26</f>
        <v>1</v>
      </c>
      <c r="L14" s="5">
        <f>'272'!$I$29</f>
        <v>1.3333333333333333</v>
      </c>
      <c r="M14" s="5">
        <f>'272'!$J$29</f>
        <v>4</v>
      </c>
      <c r="N14" s="5">
        <f>'272'!$K$29</f>
        <v>1.3026778945578592</v>
      </c>
      <c r="O14" s="5"/>
      <c r="P14" s="5">
        <f>'272'!$I$34</f>
        <v>3.4166666666666665</v>
      </c>
      <c r="Q14" s="5">
        <f>'272'!$J$34</f>
        <v>7</v>
      </c>
      <c r="R14" s="5">
        <f>'272'!$K$34</f>
        <v>2.8749176536296677</v>
      </c>
      <c r="S14" s="5">
        <f>'272'!$J$37</f>
        <v>5</v>
      </c>
      <c r="T14" s="5"/>
      <c r="U14" s="5">
        <f>'272'!$N$28</f>
        <v>6.7567567567567571E-2</v>
      </c>
      <c r="V14" s="5">
        <f>'272'!$N$30</f>
        <v>0.93243243243243246</v>
      </c>
      <c r="W14" s="5"/>
      <c r="X14" s="5">
        <f>'272'!$S$20</f>
        <v>0</v>
      </c>
      <c r="Y14" s="5">
        <f>'272'!$T$16</f>
        <v>0</v>
      </c>
      <c r="Z14" s="5">
        <f>'272'!$S$22</f>
        <v>1</v>
      </c>
      <c r="AA14" s="5">
        <f>'272'!$V$16</f>
        <v>8</v>
      </c>
      <c r="AB14" s="5">
        <f>'272'!$S$30</f>
        <v>0.49236596391733095</v>
      </c>
      <c r="AC14" s="5">
        <f>'272'!$U$22</f>
        <v>1</v>
      </c>
      <c r="AD14" s="5">
        <f>'272'!$U$24</f>
        <v>1</v>
      </c>
      <c r="AE14" s="5">
        <f>'272'!$S$27</f>
        <v>1</v>
      </c>
      <c r="AF14" s="5">
        <f>'272'!$T$27</f>
        <v>1</v>
      </c>
      <c r="AG14" s="5">
        <f>'272'!$X$16</f>
        <v>2</v>
      </c>
      <c r="AH14" s="5"/>
      <c r="AI14" s="5">
        <f>'272'!$A$19</f>
        <v>12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</row>
    <row r="15" spans="1:50" x14ac:dyDescent="0.2">
      <c r="A15" s="4">
        <v>293</v>
      </c>
      <c r="B15" s="5">
        <f>'293'!$D$20</f>
        <v>1</v>
      </c>
      <c r="C15" s="5">
        <f>'293'!$F$20</f>
        <v>0.8</v>
      </c>
      <c r="D15" s="5">
        <f>'293'!$D$29</f>
        <v>0.42163702135578385</v>
      </c>
      <c r="E15" s="5"/>
      <c r="F15" s="5">
        <f>'293'!$I$21</f>
        <v>0.9</v>
      </c>
      <c r="G15" s="5">
        <f>'293'!$I$24</f>
        <v>0.75</v>
      </c>
      <c r="H15" s="5">
        <f>'293'!$J$24</f>
        <v>5</v>
      </c>
      <c r="I15" s="5">
        <f>'293'!$K$24</f>
        <v>1.764549903980152</v>
      </c>
      <c r="J15" s="5"/>
      <c r="K15" s="5">
        <f>'293'!$I$26</f>
        <v>0.8</v>
      </c>
      <c r="L15" s="5">
        <f>'293'!$I$29</f>
        <v>0.66666666666666663</v>
      </c>
      <c r="M15" s="5">
        <f>'293'!$J$29</f>
        <v>3</v>
      </c>
      <c r="N15" s="5">
        <f>'293'!$K$29</f>
        <v>0.9847319278346619</v>
      </c>
      <c r="O15" s="5"/>
      <c r="P15" s="5">
        <f>'293'!$I$34</f>
        <v>3.3333333333333335</v>
      </c>
      <c r="Q15" s="5">
        <f>'293'!$J$34</f>
        <v>9</v>
      </c>
      <c r="R15" s="5">
        <f>'293'!$K$34</f>
        <v>3.869069264008719</v>
      </c>
      <c r="S15" s="5">
        <f>'293'!$J$37</f>
        <v>4</v>
      </c>
      <c r="T15" s="5"/>
      <c r="U15" s="5">
        <f>'293'!$N$28</f>
        <v>3.0769230769230771E-2</v>
      </c>
      <c r="V15" s="5">
        <f>'293'!$N$30</f>
        <v>0.96923076923076923</v>
      </c>
      <c r="W15" s="5"/>
      <c r="X15" s="5">
        <f>'293'!$S$20</f>
        <v>0</v>
      </c>
      <c r="Y15" s="5">
        <f>'293'!$T$16</f>
        <v>0</v>
      </c>
      <c r="Z15" s="5">
        <f>'293'!$S$22</f>
        <v>0.42857142857142855</v>
      </c>
      <c r="AA15" s="5">
        <f>'293'!$V$16</f>
        <v>3</v>
      </c>
      <c r="AB15" s="5">
        <f>'293'!$S$30</f>
        <v>0.45226701686664544</v>
      </c>
      <c r="AC15" s="5">
        <f>'293'!$U$22</f>
        <v>0.5</v>
      </c>
      <c r="AD15" s="5">
        <f>'293'!$U$24</f>
        <v>0</v>
      </c>
      <c r="AE15" s="5" t="e">
        <f>'293'!$S$27</f>
        <v>#DIV/0!</v>
      </c>
      <c r="AF15" s="5">
        <f>'293'!$T$27</f>
        <v>0</v>
      </c>
      <c r="AG15" s="5">
        <f>'293'!$X$16</f>
        <v>7</v>
      </c>
      <c r="AH15" s="5"/>
      <c r="AI15" s="5">
        <f>'293'!$A$19</f>
        <v>12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</row>
    <row r="16" spans="1:50" x14ac:dyDescent="0.2">
      <c r="A16" s="4">
        <v>303</v>
      </c>
      <c r="B16" s="5">
        <f>'303'!$D$20</f>
        <v>0.66666666666666663</v>
      </c>
      <c r="C16" s="5">
        <f>'303'!$F$20</f>
        <v>1</v>
      </c>
      <c r="D16" s="5">
        <f>'303'!$D$29</f>
        <v>0.53452248382484868</v>
      </c>
      <c r="E16" s="5"/>
      <c r="F16" s="5">
        <f>'303'!$I$21</f>
        <v>0.93617021276595747</v>
      </c>
      <c r="G16" s="5">
        <f>'303'!$I$24</f>
        <v>3.6666666666666665</v>
      </c>
      <c r="H16" s="5">
        <f>'303'!$J$24</f>
        <v>7</v>
      </c>
      <c r="I16" s="5">
        <f>'303'!$K$24</f>
        <v>1.8257418583505536</v>
      </c>
      <c r="J16" s="5"/>
      <c r="K16" s="5">
        <f>'303'!$I$26</f>
        <v>1</v>
      </c>
      <c r="L16" s="5">
        <f>'303'!$I$29</f>
        <v>0.83333333333333337</v>
      </c>
      <c r="M16" s="5">
        <f>'303'!$J$29</f>
        <v>3</v>
      </c>
      <c r="N16" s="5">
        <f>'303'!$K$29</f>
        <v>1.0298573010888745</v>
      </c>
      <c r="O16" s="5"/>
      <c r="P16" s="5">
        <f>'303'!$I$34</f>
        <v>1.4166666666666667</v>
      </c>
      <c r="Q16" s="5">
        <f>'303'!$J$34</f>
        <v>7</v>
      </c>
      <c r="R16" s="5">
        <f>'303'!$K$34</f>
        <v>2.1087839379532691</v>
      </c>
      <c r="S16" s="5">
        <f>'303'!$J$37</f>
        <v>6</v>
      </c>
      <c r="T16" s="5"/>
      <c r="U16" s="5">
        <f>'303'!$N$28</f>
        <v>0.13414634146341464</v>
      </c>
      <c r="V16" s="5">
        <f>'303'!$N$30</f>
        <v>0.86585365853658536</v>
      </c>
      <c r="W16" s="5"/>
      <c r="X16" s="5">
        <f>'303'!$S$20</f>
        <v>0</v>
      </c>
      <c r="Y16" s="5">
        <f>'303'!$T$16</f>
        <v>0</v>
      </c>
      <c r="Z16" s="5">
        <f>'303'!$S$22</f>
        <v>0.75</v>
      </c>
      <c r="AA16" s="5">
        <f>'303'!$V$16</f>
        <v>6</v>
      </c>
      <c r="AB16" s="5">
        <f>'303'!$S$30</f>
        <v>0.5222329678670935</v>
      </c>
      <c r="AC16" s="5">
        <f>'303'!$U$22</f>
        <v>0.8571428571428571</v>
      </c>
      <c r="AD16" s="5">
        <f>'303'!$U$24</f>
        <v>0</v>
      </c>
      <c r="AE16" s="5">
        <f>'303'!$S$27</f>
        <v>1</v>
      </c>
      <c r="AF16" s="5">
        <f>'303'!$T$27</f>
        <v>1</v>
      </c>
      <c r="AG16" s="5">
        <f>'303'!$X$16</f>
        <v>6</v>
      </c>
      <c r="AH16" s="5"/>
      <c r="AI16" s="5">
        <f>'303'!$A$19</f>
        <v>12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</row>
    <row r="17" spans="1:50" x14ac:dyDescent="0.2">
      <c r="A17" s="4">
        <v>316</v>
      </c>
      <c r="B17" s="5">
        <f>'316'!$D$20</f>
        <v>0.5714285714285714</v>
      </c>
      <c r="C17" s="5">
        <f>'316'!$F$20</f>
        <v>1</v>
      </c>
      <c r="D17" s="5">
        <f>'316'!$D$29</f>
        <v>0</v>
      </c>
      <c r="E17" s="5"/>
      <c r="F17" s="5">
        <f>'316'!$I$21</f>
        <v>0.86046511627906974</v>
      </c>
      <c r="G17" s="5">
        <f>'316'!$I$24</f>
        <v>3.0833333333333335</v>
      </c>
      <c r="H17" s="5">
        <f>'316'!$J$24</f>
        <v>7</v>
      </c>
      <c r="I17" s="5">
        <f>'316'!$K$24</f>
        <v>2.466441431158124</v>
      </c>
      <c r="J17" s="5"/>
      <c r="K17" s="5">
        <f>'316'!$I$26</f>
        <v>1</v>
      </c>
      <c r="L17" s="5">
        <f>'316'!$I$29</f>
        <v>0.33333333333333331</v>
      </c>
      <c r="M17" s="5">
        <f>'316'!$J$29</f>
        <v>2</v>
      </c>
      <c r="N17" s="5">
        <f>'316'!$K$29</f>
        <v>0.6513389472789296</v>
      </c>
      <c r="O17" s="5"/>
      <c r="P17" s="5">
        <f>'316'!$I$34</f>
        <v>1.0833333333333333</v>
      </c>
      <c r="Q17" s="5">
        <f>'316'!$J$34</f>
        <v>9</v>
      </c>
      <c r="R17" s="5">
        <f>'316'!$K$34</f>
        <v>2.5746432527221863</v>
      </c>
      <c r="S17" s="5">
        <f>'316'!$J$37</f>
        <v>7</v>
      </c>
      <c r="T17" s="5"/>
      <c r="U17" s="5">
        <f>'316'!$N$28</f>
        <v>0.2808988764044944</v>
      </c>
      <c r="V17" s="5">
        <f>'316'!$N$30</f>
        <v>0.7191011235955056</v>
      </c>
      <c r="W17" s="5"/>
      <c r="X17" s="5">
        <f>'316'!$S$20</f>
        <v>0</v>
      </c>
      <c r="Y17" s="5">
        <f>'316'!$T$16</f>
        <v>0</v>
      </c>
      <c r="Z17" s="5">
        <f>'316'!$S$22</f>
        <v>1</v>
      </c>
      <c r="AA17" s="5">
        <f>'316'!$V$16</f>
        <v>8</v>
      </c>
      <c r="AB17" s="5">
        <f>'316'!$S$30</f>
        <v>0.49236596391733095</v>
      </c>
      <c r="AC17" s="5">
        <f>'316'!$U$22</f>
        <v>1</v>
      </c>
      <c r="AD17" s="5" t="e">
        <f>'316'!$U$24</f>
        <v>#DIV/0!</v>
      </c>
      <c r="AE17" s="5" t="e">
        <f>'316'!$S$27</f>
        <v>#DIV/0!</v>
      </c>
      <c r="AF17" s="5">
        <f>'316'!$T$27</f>
        <v>0</v>
      </c>
      <c r="AG17" s="5">
        <f>'316'!$X$16</f>
        <v>4</v>
      </c>
      <c r="AH17" s="5"/>
      <c r="AI17" s="5">
        <f>'316'!$A$19</f>
        <v>12</v>
      </c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</row>
    <row r="18" spans="1:50" x14ac:dyDescent="0.2">
      <c r="A18" s="4">
        <v>321</v>
      </c>
      <c r="B18" s="5" t="e">
        <f>'321'!$D$20</f>
        <v>#DIV/0!</v>
      </c>
      <c r="C18" s="5">
        <f>'321'!$F$20</f>
        <v>1</v>
      </c>
      <c r="D18" s="5">
        <f>'321'!$D$29</f>
        <v>0</v>
      </c>
      <c r="E18" s="5"/>
      <c r="F18" s="5">
        <f>'321'!$I$21</f>
        <v>0.25</v>
      </c>
      <c r="G18" s="5">
        <f>'321'!$I$24</f>
        <v>8.3333333333333329E-2</v>
      </c>
      <c r="H18" s="5">
        <f>'321'!$J$24</f>
        <v>1</v>
      </c>
      <c r="I18" s="5">
        <f>'321'!$K$24</f>
        <v>0.28867513459481287</v>
      </c>
      <c r="J18" s="5"/>
      <c r="K18" s="5">
        <f>'321'!$I$26</f>
        <v>1</v>
      </c>
      <c r="L18" s="5">
        <f>'321'!$I$29</f>
        <v>0.41666666666666669</v>
      </c>
      <c r="M18" s="5">
        <f>'321'!$J$29</f>
        <v>2</v>
      </c>
      <c r="N18" s="5">
        <f>'321'!$K$29</f>
        <v>0.66855792342152143</v>
      </c>
      <c r="O18" s="5"/>
      <c r="P18" s="5">
        <f>'321'!$I$34</f>
        <v>4.333333333333333</v>
      </c>
      <c r="Q18" s="5">
        <f>'321'!$J$34</f>
        <v>9</v>
      </c>
      <c r="R18" s="5">
        <f>'321'!$K$34</f>
        <v>3.1139957766460915</v>
      </c>
      <c r="S18" s="5">
        <f>'321'!$J$37</f>
        <v>3</v>
      </c>
      <c r="T18" s="5"/>
      <c r="U18" s="5">
        <f>'321'!$N$28</f>
        <v>4.4117647058823532E-2</v>
      </c>
      <c r="V18" s="5">
        <f>'321'!$N$30</f>
        <v>0.95588235294117652</v>
      </c>
      <c r="W18" s="5"/>
      <c r="X18" s="5">
        <f>'321'!$S$20</f>
        <v>0</v>
      </c>
      <c r="Y18" s="5">
        <f>'321'!$T$16</f>
        <v>0</v>
      </c>
      <c r="Z18" s="5" t="e">
        <f>'321'!$S$22</f>
        <v>#DIV/0!</v>
      </c>
      <c r="AA18" s="5">
        <f>'321'!$V$16</f>
        <v>0</v>
      </c>
      <c r="AB18" s="5">
        <f>'321'!$S$30</f>
        <v>0</v>
      </c>
      <c r="AC18" s="5" t="e">
        <f>'321'!$U$22</f>
        <v>#DIV/0!</v>
      </c>
      <c r="AD18" s="5" t="e">
        <f>'321'!$U$24</f>
        <v>#DIV/0!</v>
      </c>
      <c r="AE18" s="5" t="e">
        <f>'321'!$S$27</f>
        <v>#DIV/0!</v>
      </c>
      <c r="AF18" s="5">
        <f>'321'!$T$27</f>
        <v>0</v>
      </c>
      <c r="AG18" s="5">
        <f>'321'!$X$16</f>
        <v>10</v>
      </c>
      <c r="AH18" s="5"/>
      <c r="AI18" s="5">
        <f>'321'!$A$19</f>
        <v>12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</row>
    <row r="19" spans="1:50" x14ac:dyDescent="0.2">
      <c r="A19" s="4">
        <v>365</v>
      </c>
      <c r="B19" s="5">
        <f>'365'!$D$20</f>
        <v>0.66666666666666663</v>
      </c>
      <c r="C19" s="5">
        <f>'365'!$F$20</f>
        <v>0.75</v>
      </c>
      <c r="D19" s="5">
        <f>'365'!$D$29</f>
        <v>0.9574271077563381</v>
      </c>
      <c r="E19" s="5"/>
      <c r="F19" s="5">
        <f>'365'!$I$21</f>
        <v>0.95</v>
      </c>
      <c r="G19" s="5">
        <f>'365'!$I$24</f>
        <v>4.75</v>
      </c>
      <c r="H19" s="5">
        <f>'365'!$J$24</f>
        <v>7</v>
      </c>
      <c r="I19" s="5">
        <f>'365'!$K$24</f>
        <v>2.0056737702645644</v>
      </c>
      <c r="J19" s="5"/>
      <c r="K19" s="5">
        <f>'365'!$I$26</f>
        <v>1</v>
      </c>
      <c r="L19" s="5">
        <f>'365'!$I$29</f>
        <v>0.58333333333333337</v>
      </c>
      <c r="M19" s="5">
        <f>'365'!$J$29</f>
        <v>4</v>
      </c>
      <c r="N19" s="5">
        <f>'365'!$K$29</f>
        <v>1.164500152881315</v>
      </c>
      <c r="O19" s="5"/>
      <c r="P19" s="5">
        <f>'365'!$I$34</f>
        <v>0.25</v>
      </c>
      <c r="Q19" s="5">
        <f>'365'!$J$34</f>
        <v>3</v>
      </c>
      <c r="R19" s="5">
        <f>'365'!$K$34</f>
        <v>0.8660254037844386</v>
      </c>
      <c r="S19" s="5">
        <f>'365'!$J$37</f>
        <v>1</v>
      </c>
      <c r="T19" s="5"/>
      <c r="U19" s="5">
        <f>'365'!$N$28</f>
        <v>0.13513513513513514</v>
      </c>
      <c r="V19" s="5">
        <f>'365'!$N$30</f>
        <v>0.86486486486486491</v>
      </c>
      <c r="W19" s="5"/>
      <c r="X19" s="5">
        <f>'365'!$S$20</f>
        <v>0</v>
      </c>
      <c r="Y19" s="5">
        <f>'365'!$T$16</f>
        <v>0</v>
      </c>
      <c r="Z19" s="5">
        <f>'365'!$S$22</f>
        <v>0.72727272727272729</v>
      </c>
      <c r="AA19" s="5">
        <f>'365'!$V$16</f>
        <v>8</v>
      </c>
      <c r="AB19" s="5">
        <f>'365'!$S$30</f>
        <v>0.49236596391733095</v>
      </c>
      <c r="AC19" s="5">
        <f>'365'!$U$22</f>
        <v>0.72727272727272729</v>
      </c>
      <c r="AD19" s="5" t="e">
        <f>'365'!$U$24</f>
        <v>#DIV/0!</v>
      </c>
      <c r="AE19" s="5" t="e">
        <f>'365'!$S$27</f>
        <v>#DIV/0!</v>
      </c>
      <c r="AF19" s="5">
        <f>'365'!$T$27</f>
        <v>0</v>
      </c>
      <c r="AG19" s="5">
        <f>'365'!$X$16</f>
        <v>4</v>
      </c>
      <c r="AH19" s="5"/>
      <c r="AI19" s="5">
        <f>'365'!$A$19</f>
        <v>12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</row>
    <row r="20" spans="1:50" x14ac:dyDescent="0.2">
      <c r="A20" s="4">
        <v>433</v>
      </c>
      <c r="B20" s="5">
        <f>'433'!$D$20</f>
        <v>1</v>
      </c>
      <c r="C20" s="5">
        <f>'433'!$F$20</f>
        <v>0.9</v>
      </c>
      <c r="D20" s="5">
        <f>'433'!$D$29</f>
        <v>0.316227766016838</v>
      </c>
      <c r="E20" s="5"/>
      <c r="F20" s="5">
        <f>'433'!$I$21</f>
        <v>0.45454545454545453</v>
      </c>
      <c r="G20" s="5">
        <f>'433'!$I$24</f>
        <v>0.41666666666666669</v>
      </c>
      <c r="H20" s="5">
        <f>'433'!$J$24</f>
        <v>2</v>
      </c>
      <c r="I20" s="5">
        <f>'433'!$K$24</f>
        <v>0.66855792342152143</v>
      </c>
      <c r="J20" s="5"/>
      <c r="K20" s="5">
        <f>'433'!$I$26</f>
        <v>1</v>
      </c>
      <c r="L20" s="5">
        <f>'433'!$I$29</f>
        <v>0.91666666666666663</v>
      </c>
      <c r="M20" s="5">
        <f>'433'!$J$29</f>
        <v>3</v>
      </c>
      <c r="N20" s="5">
        <f>'433'!$K$29</f>
        <v>0.99620491989562188</v>
      </c>
      <c r="O20" s="5"/>
      <c r="P20" s="5">
        <f>'433'!$I$34</f>
        <v>3.5</v>
      </c>
      <c r="Q20" s="5">
        <f>'433'!$J$34</f>
        <v>8</v>
      </c>
      <c r="R20" s="5">
        <f>'433'!$K$34</f>
        <v>3.147870853305597</v>
      </c>
      <c r="S20" s="5">
        <f>'433'!$J$37</f>
        <v>5</v>
      </c>
      <c r="T20" s="5"/>
      <c r="U20" s="5">
        <f>'433'!$N$28</f>
        <v>8.8888888888888892E-2</v>
      </c>
      <c r="V20" s="5">
        <f>'433'!$N$30</f>
        <v>0.91111111111111109</v>
      </c>
      <c r="W20" s="5"/>
      <c r="X20" s="5">
        <f>'433'!$S$20</f>
        <v>0</v>
      </c>
      <c r="Y20" s="5">
        <f>'433'!$T$16</f>
        <v>0</v>
      </c>
      <c r="Z20" s="5">
        <f>'433'!$S$22</f>
        <v>0.5</v>
      </c>
      <c r="AA20" s="5">
        <f>'433'!$V$16</f>
        <v>4</v>
      </c>
      <c r="AB20" s="5">
        <f>'433'!$S$30</f>
        <v>0.49236596391733095</v>
      </c>
      <c r="AC20" s="5">
        <f>'433'!$U$22</f>
        <v>0.5</v>
      </c>
      <c r="AD20" s="5" t="e">
        <f>'433'!$U$24</f>
        <v>#DIV/0!</v>
      </c>
      <c r="AE20" s="5" t="e">
        <f>'433'!$S$27</f>
        <v>#DIV/0!</v>
      </c>
      <c r="AF20" s="5">
        <f>'433'!$T$27</f>
        <v>0</v>
      </c>
      <c r="AG20" s="5">
        <f>'433'!$X$16</f>
        <v>7</v>
      </c>
      <c r="AH20" s="5"/>
      <c r="AI20" s="5">
        <f>'433'!$A$19</f>
        <v>12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</row>
    <row r="21" spans="1:50" x14ac:dyDescent="0.2">
      <c r="A21" s="4">
        <v>708</v>
      </c>
      <c r="B21" s="5">
        <f>'708'!$D$20</f>
        <v>0</v>
      </c>
      <c r="C21" s="5">
        <f>'708'!$F$20</f>
        <v>0.875</v>
      </c>
      <c r="D21" s="5">
        <f>'708'!$D$29</f>
        <v>0.7559289460184544</v>
      </c>
      <c r="E21" s="5"/>
      <c r="F21" s="5">
        <f>'708'!$I$21</f>
        <v>1</v>
      </c>
      <c r="G21" s="5">
        <f>'708'!$I$24</f>
        <v>8.3333333333333329E-2</v>
      </c>
      <c r="H21" s="5">
        <f>'708'!$J$24</f>
        <v>1</v>
      </c>
      <c r="I21" s="5">
        <f>'708'!$K$24</f>
        <v>0.28867513459481287</v>
      </c>
      <c r="J21" s="5"/>
      <c r="K21" s="5">
        <f>'708'!$I$26</f>
        <v>0.90909090909090906</v>
      </c>
      <c r="L21" s="5">
        <f>'708'!$I$29</f>
        <v>1.6666666666666667</v>
      </c>
      <c r="M21" s="5">
        <f>'708'!$J$29</f>
        <v>4</v>
      </c>
      <c r="N21" s="5">
        <f>'708'!$K$29</f>
        <v>1.2309149097933272</v>
      </c>
      <c r="O21" s="5"/>
      <c r="P21" s="5">
        <f>'708'!$I$34</f>
        <v>5.75</v>
      </c>
      <c r="Q21" s="5">
        <f>'708'!$J$34</f>
        <v>9</v>
      </c>
      <c r="R21" s="5">
        <f>'708'!$K$34</f>
        <v>2.8001623329566252</v>
      </c>
      <c r="S21" s="5">
        <f>'708'!$J$37</f>
        <v>4</v>
      </c>
      <c r="T21" s="5"/>
      <c r="U21" s="5">
        <f>'708'!$N$28</f>
        <v>9.0090090090090089E-3</v>
      </c>
      <c r="V21" s="5">
        <f>'708'!$N$30</f>
        <v>0.99099099099099097</v>
      </c>
      <c r="W21" s="5"/>
      <c r="X21" s="5">
        <f>'708'!$S$20</f>
        <v>0</v>
      </c>
      <c r="Y21" s="5">
        <f>'708'!$T$16</f>
        <v>0</v>
      </c>
      <c r="Z21" s="5">
        <f>'708'!$S$22</f>
        <v>0.88888888888888884</v>
      </c>
      <c r="AA21" s="5">
        <f>'708'!$V$16</f>
        <v>8</v>
      </c>
      <c r="AB21" s="5">
        <f>'708'!$S$30</f>
        <v>0.49236596391733095</v>
      </c>
      <c r="AC21" s="5">
        <f>'708'!$U$22</f>
        <v>0.875</v>
      </c>
      <c r="AD21" s="5">
        <f>'708'!$U$24</f>
        <v>1</v>
      </c>
      <c r="AE21" s="5" t="e">
        <f>'708'!$S$27</f>
        <v>#DIV/0!</v>
      </c>
      <c r="AF21" s="5">
        <f>'708'!$T$27</f>
        <v>0</v>
      </c>
      <c r="AG21" s="5">
        <f>'708'!$X$16</f>
        <v>2</v>
      </c>
      <c r="AH21" s="5"/>
      <c r="AI21" s="5">
        <f>'708'!$A$19</f>
        <v>12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</row>
    <row r="22" spans="1:50" x14ac:dyDescent="0.2">
      <c r="A22" s="4">
        <v>747</v>
      </c>
      <c r="B22" s="5" t="e">
        <f>'747'!$D$20</f>
        <v>#DIV/0!</v>
      </c>
      <c r="C22" s="5">
        <f>'747'!$F$20</f>
        <v>1</v>
      </c>
      <c r="D22" s="5">
        <f>'747'!$D$29</f>
        <v>0</v>
      </c>
      <c r="E22" s="5"/>
      <c r="F22" s="5" t="e">
        <f>'747'!$I$21</f>
        <v>#DIV/0!</v>
      </c>
      <c r="G22" s="5">
        <f>'747'!$I$24</f>
        <v>0</v>
      </c>
      <c r="H22" s="5">
        <f>'747'!$J$24</f>
        <v>0</v>
      </c>
      <c r="I22" s="5">
        <f>'747'!$K$24</f>
        <v>0</v>
      </c>
      <c r="J22" s="5"/>
      <c r="K22" s="5">
        <f>'747'!$I$26</f>
        <v>1</v>
      </c>
      <c r="L22" s="5">
        <f>'747'!$I$29</f>
        <v>2</v>
      </c>
      <c r="M22" s="5">
        <f>'747'!$J$29</f>
        <v>6</v>
      </c>
      <c r="N22" s="5">
        <f>'747'!$K$29</f>
        <v>1.7580981459830651</v>
      </c>
      <c r="O22" s="5"/>
      <c r="P22" s="5">
        <f>'747'!$I$34</f>
        <v>6.666666666666667</v>
      </c>
      <c r="Q22" s="5">
        <f>'747'!$J$34</f>
        <v>9</v>
      </c>
      <c r="R22" s="5">
        <f>'747'!$K$34</f>
        <v>3.2844906435973877</v>
      </c>
      <c r="S22" s="5">
        <f>'747'!$J$37</f>
        <v>1</v>
      </c>
      <c r="T22" s="5"/>
      <c r="U22" s="5">
        <f>'747'!$N$28</f>
        <v>2.7272727272727271E-2</v>
      </c>
      <c r="V22" s="5">
        <f>'747'!$N$30</f>
        <v>0.97272727272727277</v>
      </c>
      <c r="W22" s="5"/>
      <c r="X22" s="5">
        <f>'747'!$S$20</f>
        <v>0</v>
      </c>
      <c r="Y22" s="5">
        <f>'747'!$T$16</f>
        <v>0</v>
      </c>
      <c r="Z22" s="5">
        <f>'747'!$S$22</f>
        <v>1</v>
      </c>
      <c r="AA22" s="5">
        <f>'747'!$V$16</f>
        <v>3</v>
      </c>
      <c r="AB22" s="5">
        <f>'747'!$S$30</f>
        <v>0.45226701686664544</v>
      </c>
      <c r="AC22" s="5" t="e">
        <f>'747'!$U$22</f>
        <v>#DIV/0!</v>
      </c>
      <c r="AD22" s="5">
        <f>'747'!$U$24</f>
        <v>1</v>
      </c>
      <c r="AE22" s="5" t="e">
        <f>'747'!$S$27</f>
        <v>#DIV/0!</v>
      </c>
      <c r="AF22" s="5">
        <f>'747'!$T$27</f>
        <v>0</v>
      </c>
      <c r="AG22" s="5">
        <f>'747'!$X$16</f>
        <v>9</v>
      </c>
      <c r="AH22" s="5"/>
      <c r="AI22" s="5">
        <f>'747'!$A$19</f>
        <v>12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</row>
    <row r="23" spans="1:50" x14ac:dyDescent="0.2">
      <c r="A23" s="4">
        <v>834</v>
      </c>
      <c r="B23" s="5">
        <f>'834'!$D$20</f>
        <v>0</v>
      </c>
      <c r="C23" s="5">
        <f>'834'!$F$20</f>
        <v>0.66666666666666663</v>
      </c>
      <c r="D23" s="5">
        <f>'834'!$D$29</f>
        <v>0.57735026918962584</v>
      </c>
      <c r="E23" s="5"/>
      <c r="F23" s="5">
        <f>'834'!$I$21</f>
        <v>0.92156862745098034</v>
      </c>
      <c r="G23" s="5">
        <f>'834'!$I$24</f>
        <v>3.9166666666666665</v>
      </c>
      <c r="H23" s="5">
        <f>'834'!$J$24</f>
        <v>7</v>
      </c>
      <c r="I23" s="5">
        <f>'834'!$K$24</f>
        <v>1.6764862244009222</v>
      </c>
      <c r="J23" s="5"/>
      <c r="K23" s="5">
        <f>'834'!$I$26</f>
        <v>1</v>
      </c>
      <c r="L23" s="5">
        <f>'834'!$I$29</f>
        <v>0.33333333333333331</v>
      </c>
      <c r="M23" s="5">
        <f>'834'!$J$29</f>
        <v>2</v>
      </c>
      <c r="N23" s="5">
        <f>'834'!$K$29</f>
        <v>0.6513389472789296</v>
      </c>
      <c r="O23" s="5"/>
      <c r="P23" s="5">
        <f>'834'!$I$34</f>
        <v>0</v>
      </c>
      <c r="Q23" s="5">
        <f>'834'!$J$34</f>
        <v>0</v>
      </c>
      <c r="R23" s="5">
        <f>'834'!$K$34</f>
        <v>0</v>
      </c>
      <c r="S23" s="5">
        <f>'834'!$J$37</f>
        <v>4</v>
      </c>
      <c r="T23" s="5"/>
      <c r="U23" s="5">
        <f>'834'!$N$28</f>
        <v>0.20634920634920634</v>
      </c>
      <c r="V23" s="5">
        <f>'834'!$N$30</f>
        <v>0.79365079365079361</v>
      </c>
      <c r="W23" s="5"/>
      <c r="X23" s="5">
        <f>'834'!$S$20</f>
        <v>0</v>
      </c>
      <c r="Y23" s="5">
        <f>'834'!$T$16</f>
        <v>0</v>
      </c>
      <c r="Z23" s="5">
        <f>'834'!$S$22</f>
        <v>0.66666666666666663</v>
      </c>
      <c r="AA23" s="5">
        <f>'834'!$V$16</f>
        <v>6</v>
      </c>
      <c r="AB23" s="5">
        <f>'834'!$S$30</f>
        <v>0.5222329678670935</v>
      </c>
      <c r="AC23" s="5">
        <f>'834'!$U$22</f>
        <v>0.66666666666666663</v>
      </c>
      <c r="AD23" s="5" t="e">
        <f>'834'!$U$24</f>
        <v>#DIV/0!</v>
      </c>
      <c r="AE23" s="5" t="e">
        <f>'834'!$S$27</f>
        <v>#DIV/0!</v>
      </c>
      <c r="AF23" s="5">
        <f>'834'!$T$27</f>
        <v>0</v>
      </c>
      <c r="AG23" s="5">
        <f>'834'!$X$16</f>
        <v>6</v>
      </c>
      <c r="AH23" s="5"/>
      <c r="AI23" s="5">
        <f>'834'!$A$19</f>
        <v>12</v>
      </c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</row>
    <row r="24" spans="1:50" x14ac:dyDescent="0.2">
      <c r="A24" s="4">
        <v>1089</v>
      </c>
      <c r="B24" s="5">
        <f>'1089'!$D$20</f>
        <v>0.42857142857142855</v>
      </c>
      <c r="C24" s="5">
        <f>'1089'!$F$20</f>
        <v>0.5</v>
      </c>
      <c r="D24" s="5">
        <f>'1089'!$D$29</f>
        <v>0.70710678118654757</v>
      </c>
      <c r="E24" s="5"/>
      <c r="F24" s="5">
        <f>'1089'!$I$21</f>
        <v>0.81132075471698117</v>
      </c>
      <c r="G24" s="5">
        <f>'1089'!$I$24</f>
        <v>3.5833333333333335</v>
      </c>
      <c r="H24" s="5">
        <f>'1089'!$J$24</f>
        <v>7</v>
      </c>
      <c r="I24" s="5">
        <f>'1089'!$K$24</f>
        <v>2.1514618004482156</v>
      </c>
      <c r="J24" s="5"/>
      <c r="K24" s="5">
        <f>'1089'!$I$26</f>
        <v>1</v>
      </c>
      <c r="L24" s="5">
        <f>'1089'!$I$29</f>
        <v>0.66666666666666663</v>
      </c>
      <c r="M24" s="5">
        <f>'1089'!$J$29</f>
        <v>3</v>
      </c>
      <c r="N24" s="5">
        <f>'1089'!$K$29</f>
        <v>1.0730867399773196</v>
      </c>
      <c r="O24" s="5"/>
      <c r="P24" s="5">
        <f>'1089'!$I$34</f>
        <v>1.25</v>
      </c>
      <c r="Q24" s="5">
        <f>'1089'!$J$34</f>
        <v>6</v>
      </c>
      <c r="R24" s="5">
        <f>'1089'!$K$34</f>
        <v>2.3788843832962772</v>
      </c>
      <c r="S24" s="5">
        <f>'1089'!$J$37</f>
        <v>0</v>
      </c>
      <c r="T24" s="5"/>
      <c r="U24" s="5">
        <f>'1089'!$N$28</f>
        <v>8.4507042253521125E-2</v>
      </c>
      <c r="V24" s="5">
        <f>'1089'!$N$30</f>
        <v>0.91549295774647887</v>
      </c>
      <c r="W24" s="5"/>
      <c r="X24" s="5">
        <f>'1089'!$S$20</f>
        <v>0</v>
      </c>
      <c r="Y24" s="5">
        <f>'1089'!$T$16</f>
        <v>0</v>
      </c>
      <c r="Z24" s="5">
        <f>'1089'!$S$22</f>
        <v>0.66666666666666663</v>
      </c>
      <c r="AA24" s="5">
        <f>'1089'!$V$16</f>
        <v>4</v>
      </c>
      <c r="AB24" s="5">
        <f>'1089'!$S$30</f>
        <v>0.49236596391733095</v>
      </c>
      <c r="AC24" s="5">
        <f>'1089'!$U$22</f>
        <v>0.6</v>
      </c>
      <c r="AD24" s="5">
        <f>'1089'!$U$24</f>
        <v>1</v>
      </c>
      <c r="AE24" s="5" t="e">
        <f>'1089'!$S$27</f>
        <v>#DIV/0!</v>
      </c>
      <c r="AF24" s="5">
        <f>'1089'!$T$27</f>
        <v>0</v>
      </c>
      <c r="AG24" s="5">
        <f>'1089'!$X$16</f>
        <v>9</v>
      </c>
      <c r="AH24" s="5"/>
      <c r="AI24" s="5">
        <f>'1089'!$A$19</f>
        <v>12</v>
      </c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</row>
    <row r="25" spans="1:50" x14ac:dyDescent="0.2">
      <c r="A25" s="4">
        <v>1143</v>
      </c>
      <c r="B25" s="5" t="e">
        <f>'1143'!$D$20</f>
        <v>#DIV/0!</v>
      </c>
      <c r="C25" s="5">
        <f>'1143'!$F$20</f>
        <v>1</v>
      </c>
      <c r="D25" s="5">
        <f>'1143'!$D$29</f>
        <v>0</v>
      </c>
      <c r="E25" s="5"/>
      <c r="F25" s="5">
        <f>'1143'!$I$21</f>
        <v>0.91666666666666663</v>
      </c>
      <c r="G25" s="5">
        <f>'1143'!$I$24</f>
        <v>0.91666666666666663</v>
      </c>
      <c r="H25" s="5">
        <f>'1143'!$J$24</f>
        <v>4</v>
      </c>
      <c r="I25" s="5">
        <f>'1143'!$K$24</f>
        <v>1.4433756729740643</v>
      </c>
      <c r="J25" s="5"/>
      <c r="K25" s="5">
        <f>'1143'!$I$26</f>
        <v>0.9285714285714286</v>
      </c>
      <c r="L25" s="5">
        <f>'1143'!$I$29</f>
        <v>1.0833333333333333</v>
      </c>
      <c r="M25" s="5">
        <f>'1143'!$J$29</f>
        <v>3</v>
      </c>
      <c r="N25" s="5">
        <f>'1143'!$K$29</f>
        <v>0.99620491989562188</v>
      </c>
      <c r="O25" s="5"/>
      <c r="P25" s="5">
        <f>'1143'!$I$34</f>
        <v>4.5</v>
      </c>
      <c r="Q25" s="5">
        <f>'1143'!$J$34</f>
        <v>9</v>
      </c>
      <c r="R25" s="5">
        <f>'1143'!$K$34</f>
        <v>3.6055512754639891</v>
      </c>
      <c r="S25" s="5">
        <f>'1143'!$J$37</f>
        <v>1</v>
      </c>
      <c r="T25" s="5"/>
      <c r="U25" s="5">
        <f>'1143'!$N$28</f>
        <v>1.3157894736842105E-2</v>
      </c>
      <c r="V25" s="5">
        <f>'1143'!$N$30</f>
        <v>0.98684210526315785</v>
      </c>
      <c r="W25" s="5"/>
      <c r="X25" s="5">
        <f>'1143'!$S$20</f>
        <v>0</v>
      </c>
      <c r="Y25" s="5">
        <f>'1143'!$T$16</f>
        <v>0</v>
      </c>
      <c r="Z25" s="5">
        <f>'1143'!$S$22</f>
        <v>0.66666666666666663</v>
      </c>
      <c r="AA25" s="5">
        <f>'1143'!$V$16</f>
        <v>2</v>
      </c>
      <c r="AB25" s="5">
        <f>'1143'!$S$30</f>
        <v>0.38924947208076149</v>
      </c>
      <c r="AC25" s="5">
        <f>'1143'!$U$22</f>
        <v>0.66666666666666663</v>
      </c>
      <c r="AD25" s="5" t="e">
        <f>'1143'!$U$24</f>
        <v>#DIV/0!</v>
      </c>
      <c r="AE25" s="5" t="e">
        <f>'1143'!$S$27</f>
        <v>#DIV/0!</v>
      </c>
      <c r="AF25" s="5">
        <f>'1143'!$T$27</f>
        <v>0</v>
      </c>
      <c r="AG25" s="5">
        <f>'1143'!$X$16</f>
        <v>9</v>
      </c>
      <c r="AH25" s="5"/>
      <c r="AI25" s="5">
        <f>'1143'!$A$19</f>
        <v>12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</row>
    <row r="26" spans="1:50" x14ac:dyDescent="0.2">
      <c r="A26" s="4">
        <v>1218</v>
      </c>
      <c r="B26" s="5">
        <f>'1218'!$D$20</f>
        <v>0.5</v>
      </c>
      <c r="C26" s="5">
        <f>'1218'!$F$20</f>
        <v>0.8571428571428571</v>
      </c>
      <c r="D26" s="5">
        <f>'1218'!$D$29</f>
        <v>0.37796447300922714</v>
      </c>
      <c r="E26" s="5"/>
      <c r="F26" s="5">
        <f>'1218'!$I$21</f>
        <v>0.93548387096774188</v>
      </c>
      <c r="G26" s="5">
        <f>'1218'!$I$24</f>
        <v>2.4166666666666665</v>
      </c>
      <c r="H26" s="5">
        <f>'1218'!$J$24</f>
        <v>4</v>
      </c>
      <c r="I26" s="5">
        <f>'1218'!$K$24</f>
        <v>1.5642792899510296</v>
      </c>
      <c r="J26" s="5"/>
      <c r="K26" s="5">
        <f>'1218'!$I$26</f>
        <v>1</v>
      </c>
      <c r="L26" s="5">
        <f>'1218'!$I$29</f>
        <v>1.25</v>
      </c>
      <c r="M26" s="5">
        <f>'1218'!$J$29</f>
        <v>5</v>
      </c>
      <c r="N26" s="5">
        <f>'1218'!$K$29</f>
        <v>1.5447859516333116</v>
      </c>
      <c r="O26" s="5"/>
      <c r="P26" s="5">
        <f>'1218'!$I$34</f>
        <v>2.25</v>
      </c>
      <c r="Q26" s="5">
        <f>'1218'!$J$34</f>
        <v>9</v>
      </c>
      <c r="R26" s="5">
        <f>'1218'!$K$34</f>
        <v>3.1658691180665182</v>
      </c>
      <c r="S26" s="5">
        <f>'1218'!$J$37</f>
        <v>5</v>
      </c>
      <c r="T26" s="5"/>
      <c r="U26" s="5">
        <f>'1218'!$N$28</f>
        <v>5.8139534883720929E-2</v>
      </c>
      <c r="V26" s="5">
        <f>'1218'!$N$30</f>
        <v>0.94186046511627908</v>
      </c>
      <c r="W26" s="5"/>
      <c r="X26" s="5">
        <f>'1218'!$S$20</f>
        <v>0</v>
      </c>
      <c r="Y26" s="5">
        <f>'1218'!$T$16</f>
        <v>0</v>
      </c>
      <c r="Z26" s="5">
        <f>'1218'!$S$22</f>
        <v>0.625</v>
      </c>
      <c r="AA26" s="5">
        <f>'1218'!$V$16</f>
        <v>5</v>
      </c>
      <c r="AB26" s="5">
        <f>'1218'!$S$30</f>
        <v>0.51492865054443726</v>
      </c>
      <c r="AC26" s="5">
        <f>'1218'!$U$22</f>
        <v>0.625</v>
      </c>
      <c r="AD26" s="5" t="e">
        <f>'1218'!$U$24</f>
        <v>#DIV/0!</v>
      </c>
      <c r="AE26" s="5" t="e">
        <f>'1218'!$S$27</f>
        <v>#DIV/0!</v>
      </c>
      <c r="AF26" s="5">
        <f>'1218'!$T$27</f>
        <v>0</v>
      </c>
      <c r="AG26" s="5">
        <f>'1218'!$X$16</f>
        <v>6</v>
      </c>
      <c r="AH26" s="5"/>
      <c r="AI26" s="5">
        <f>'1218'!$A$19</f>
        <v>12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2">
      <c r="A27" s="4">
        <v>1257</v>
      </c>
      <c r="B27" s="5" t="e">
        <f>'1257'!$D$20</f>
        <v>#DIV/0!</v>
      </c>
      <c r="C27" s="5">
        <f>'1257'!$F$20</f>
        <v>0.6</v>
      </c>
      <c r="D27" s="5">
        <f>'1257'!$D$29</f>
        <v>0.54772255750516607</v>
      </c>
      <c r="E27" s="5"/>
      <c r="F27" s="5">
        <f>'1257'!$I$21</f>
        <v>0.88</v>
      </c>
      <c r="G27" s="5">
        <f>'1257'!$I$24</f>
        <v>1.8333333333333333</v>
      </c>
      <c r="H27" s="5">
        <f>'1257'!$J$24</f>
        <v>5</v>
      </c>
      <c r="I27" s="5">
        <f>'1257'!$K$24</f>
        <v>1.80067327475704</v>
      </c>
      <c r="J27" s="5"/>
      <c r="K27" s="5">
        <f>'1257'!$I$26</f>
        <v>0.88888888888888884</v>
      </c>
      <c r="L27" s="5">
        <f>'1257'!$I$29</f>
        <v>0.66666666666666663</v>
      </c>
      <c r="M27" s="5">
        <f>'1257'!$J$29</f>
        <v>3</v>
      </c>
      <c r="N27" s="5">
        <f>'1257'!$K$29</f>
        <v>0.9847319278346619</v>
      </c>
      <c r="O27" s="5"/>
      <c r="P27" s="5">
        <f>'1257'!$I$34</f>
        <v>2.3333333333333335</v>
      </c>
      <c r="Q27" s="5">
        <f>'1257'!$J$34</f>
        <v>7</v>
      </c>
      <c r="R27" s="5">
        <f>'1257'!$K$34</f>
        <v>2.5702257889260638</v>
      </c>
      <c r="S27" s="5">
        <f>'1257'!$J$37</f>
        <v>2</v>
      </c>
      <c r="T27" s="5"/>
      <c r="U27" s="5">
        <f>'1257'!$N$28</f>
        <v>4.9180327868852458E-2</v>
      </c>
      <c r="V27" s="5">
        <f>'1257'!$N$30</f>
        <v>0.95081967213114749</v>
      </c>
      <c r="W27" s="5"/>
      <c r="X27" s="5" t="e">
        <f>'1257'!$S$20</f>
        <v>#DIV/0!</v>
      </c>
      <c r="Y27" s="5">
        <f>'1257'!$T$16</f>
        <v>0</v>
      </c>
      <c r="Z27" s="5">
        <f>'1257'!$S$22</f>
        <v>1</v>
      </c>
      <c r="AA27" s="5">
        <f>'1257'!$V$16</f>
        <v>1</v>
      </c>
      <c r="AB27" s="5">
        <f>'1257'!$S$30</f>
        <v>0.28867513459481287</v>
      </c>
      <c r="AC27" s="5" t="e">
        <f>'1257'!$U$22</f>
        <v>#DIV/0!</v>
      </c>
      <c r="AD27" s="5">
        <f>'1257'!$U$24</f>
        <v>1</v>
      </c>
      <c r="AE27" s="5" t="e">
        <f>'1257'!$S$27</f>
        <v>#DIV/0!</v>
      </c>
      <c r="AF27" s="5">
        <f>'1257'!$T$27</f>
        <v>0</v>
      </c>
      <c r="AG27" s="5">
        <f>'1257'!$X$16</f>
        <v>7</v>
      </c>
      <c r="AH27" s="5"/>
      <c r="AI27" s="5">
        <f>'1257'!$A$19</f>
        <v>12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2">
      <c r="A28" s="4">
        <v>1391</v>
      </c>
      <c r="B28" s="5">
        <f>'1391'!$D$20</f>
        <v>0.2</v>
      </c>
      <c r="C28" s="5">
        <f>'1391'!$F$20</f>
        <v>1</v>
      </c>
      <c r="D28" s="5">
        <f>'1391'!$D$29</f>
        <v>0</v>
      </c>
      <c r="E28" s="5"/>
      <c r="F28" s="5">
        <f>'1391'!$I$21</f>
        <v>0.89473684210526316</v>
      </c>
      <c r="G28" s="5">
        <f>'1391'!$I$24</f>
        <v>2.8333333333333335</v>
      </c>
      <c r="H28" s="5">
        <f>'1391'!$J$24</f>
        <v>5</v>
      </c>
      <c r="I28" s="5">
        <f>'1391'!$K$24</f>
        <v>1.6966991126265962</v>
      </c>
      <c r="J28" s="5"/>
      <c r="K28" s="5">
        <f>'1391'!$I$26</f>
        <v>1</v>
      </c>
      <c r="L28" s="5">
        <f>'1391'!$I$29</f>
        <v>0.66666666666666663</v>
      </c>
      <c r="M28" s="5">
        <f>'1391'!$J$29</f>
        <v>3</v>
      </c>
      <c r="N28" s="5">
        <f>'1391'!$K$29</f>
        <v>0.9847319278346619</v>
      </c>
      <c r="O28" s="5"/>
      <c r="P28" s="5">
        <f>'1391'!$I$34</f>
        <v>0.33333333333333331</v>
      </c>
      <c r="Q28" s="5">
        <f>'1391'!$J$34</f>
        <v>2</v>
      </c>
      <c r="R28" s="5">
        <f>'1391'!$K$34</f>
        <v>0.6513389472789296</v>
      </c>
      <c r="S28" s="5">
        <f>'1391'!$J$37</f>
        <v>4</v>
      </c>
      <c r="T28" s="5"/>
      <c r="U28" s="5">
        <f>'1391'!$N$28</f>
        <v>0.30985915492957744</v>
      </c>
      <c r="V28" s="5">
        <f>'1391'!$N$30</f>
        <v>0.6901408450704225</v>
      </c>
      <c r="W28" s="5"/>
      <c r="X28" s="5">
        <f>'1391'!$S$20</f>
        <v>0</v>
      </c>
      <c r="Y28" s="5">
        <f>'1391'!$T$16</f>
        <v>0</v>
      </c>
      <c r="Z28" s="5">
        <f>'1391'!$S$22</f>
        <v>1</v>
      </c>
      <c r="AA28" s="5">
        <f>'1391'!$V$16</f>
        <v>10</v>
      </c>
      <c r="AB28" s="5">
        <f>'1391'!$S$30</f>
        <v>0.38924947208076144</v>
      </c>
      <c r="AC28" s="5">
        <f>'1391'!$U$22</f>
        <v>1</v>
      </c>
      <c r="AD28" s="5" t="e">
        <f>'1391'!$U$24</f>
        <v>#DIV/0!</v>
      </c>
      <c r="AE28" s="5" t="e">
        <f>'1391'!$S$27</f>
        <v>#DIV/0!</v>
      </c>
      <c r="AF28" s="5">
        <f>'1391'!$T$27</f>
        <v>0</v>
      </c>
      <c r="AG28" s="5">
        <f>'1391'!$X$16</f>
        <v>3</v>
      </c>
      <c r="AH28" s="5"/>
      <c r="AI28" s="5">
        <f>'1391'!$A$19</f>
        <v>12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2">
      <c r="A29" s="4">
        <v>1403</v>
      </c>
      <c r="B29" s="5" t="e">
        <f>'1403'!$D$20</f>
        <v>#DIV/0!</v>
      </c>
      <c r="C29" s="5">
        <f>'1403'!$F$20</f>
        <v>0.88888888888888884</v>
      </c>
      <c r="D29" s="5">
        <f>'1403'!$D$29</f>
        <v>0.33333333333333343</v>
      </c>
      <c r="E29" s="5"/>
      <c r="F29" s="5">
        <f>'1403'!$I$21</f>
        <v>0.66666666666666663</v>
      </c>
      <c r="G29" s="5">
        <f>'1403'!$I$24</f>
        <v>0.16666666666666666</v>
      </c>
      <c r="H29" s="5">
        <f>'1403'!$J$24</f>
        <v>2</v>
      </c>
      <c r="I29" s="5">
        <f>'1403'!$K$24</f>
        <v>0.57735026918962573</v>
      </c>
      <c r="J29" s="5"/>
      <c r="K29" s="5">
        <f>'1403'!$I$26</f>
        <v>0.94736842105263153</v>
      </c>
      <c r="L29" s="5">
        <f>'1403'!$I$29</f>
        <v>1.5</v>
      </c>
      <c r="M29" s="5">
        <f>'1403'!$J$29</f>
        <v>5</v>
      </c>
      <c r="N29" s="5">
        <f>'1403'!$K$29</f>
        <v>1.4459976109624424</v>
      </c>
      <c r="O29" s="5"/>
      <c r="P29" s="5">
        <f>'1403'!$I$34</f>
        <v>4.083333333333333</v>
      </c>
      <c r="Q29" s="5">
        <f>'1403'!$J$34</f>
        <v>9</v>
      </c>
      <c r="R29" s="5">
        <f>'1403'!$K$34</f>
        <v>3.8720051965905524</v>
      </c>
      <c r="S29" s="5">
        <f>'1403'!$J$37</f>
        <v>5</v>
      </c>
      <c r="T29" s="5"/>
      <c r="U29" s="5">
        <f>'1403'!$N$28</f>
        <v>2.2727272727272728E-2</v>
      </c>
      <c r="V29" s="5">
        <f>'1403'!$N$30</f>
        <v>0.97727272727272729</v>
      </c>
      <c r="W29" s="5"/>
      <c r="X29" s="5">
        <f>'1403'!$S$20</f>
        <v>0</v>
      </c>
      <c r="Y29" s="5">
        <f>'1403'!$T$16</f>
        <v>0</v>
      </c>
      <c r="Z29" s="5">
        <f>'1403'!$S$22</f>
        <v>0.5</v>
      </c>
      <c r="AA29" s="5">
        <f>'1403'!$V$16</f>
        <v>1</v>
      </c>
      <c r="AB29" s="5">
        <f>'1403'!$S$30</f>
        <v>0.28867513459481287</v>
      </c>
      <c r="AC29" s="5">
        <f>'1403'!$U$22</f>
        <v>1</v>
      </c>
      <c r="AD29" s="5">
        <f>'1403'!$U$24</f>
        <v>0</v>
      </c>
      <c r="AE29" s="5" t="e">
        <f>'1403'!$S$27</f>
        <v>#DIV/0!</v>
      </c>
      <c r="AF29" s="5">
        <f>'1403'!$T$27</f>
        <v>0</v>
      </c>
      <c r="AG29" s="5">
        <f>'1403'!$X$16</f>
        <v>9</v>
      </c>
      <c r="AH29" s="5"/>
      <c r="AI29" s="5">
        <f>'1403'!$A$19</f>
        <v>12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2">
      <c r="A30" s="4">
        <v>1640</v>
      </c>
      <c r="B30" s="5">
        <f>'1640'!$D$20</f>
        <v>1</v>
      </c>
      <c r="C30" s="5">
        <f>'1640'!$F$20</f>
        <v>1</v>
      </c>
      <c r="D30" s="5">
        <f>'1640'!$D$29</f>
        <v>0.57735026918962551</v>
      </c>
      <c r="E30" s="5"/>
      <c r="F30" s="5">
        <f>'1640'!$I$21</f>
        <v>0.86538461538461542</v>
      </c>
      <c r="G30" s="5">
        <f>'1640'!$I$24</f>
        <v>3.75</v>
      </c>
      <c r="H30" s="5">
        <f>'1640'!$J$24</f>
        <v>6</v>
      </c>
      <c r="I30" s="5">
        <f>'1640'!$K$24</f>
        <v>2.0056737702645644</v>
      </c>
      <c r="J30" s="5"/>
      <c r="K30" s="5">
        <f>'1640'!$I$26</f>
        <v>1</v>
      </c>
      <c r="L30" s="5">
        <f>'1640'!$I$29</f>
        <v>0.25</v>
      </c>
      <c r="M30" s="5">
        <f>'1640'!$J$29</f>
        <v>1</v>
      </c>
      <c r="N30" s="5">
        <f>'1640'!$K$29</f>
        <v>0.45226701686664544</v>
      </c>
      <c r="O30" s="5"/>
      <c r="P30" s="5">
        <f>'1640'!$I$34</f>
        <v>0.41666666666666669</v>
      </c>
      <c r="Q30" s="5">
        <f>'1640'!$J$34</f>
        <v>2</v>
      </c>
      <c r="R30" s="5">
        <f>'1640'!$K$34</f>
        <v>0.79296146109875909</v>
      </c>
      <c r="S30" s="5">
        <f>'1640'!$J$37</f>
        <v>6</v>
      </c>
      <c r="T30" s="5"/>
      <c r="U30" s="5">
        <f>'1640'!$N$28</f>
        <v>0.18390804597701149</v>
      </c>
      <c r="V30" s="5">
        <f>'1640'!$N$30</f>
        <v>0.81609195402298851</v>
      </c>
      <c r="W30" s="5"/>
      <c r="X30" s="5">
        <f>'1640'!$S$20</f>
        <v>0</v>
      </c>
      <c r="Y30" s="5">
        <f>'1640'!$T$16</f>
        <v>0</v>
      </c>
      <c r="Z30" s="5">
        <f>'1640'!$S$22</f>
        <v>0.66666666666666663</v>
      </c>
      <c r="AA30" s="5">
        <f>'1640'!$V$16</f>
        <v>4</v>
      </c>
      <c r="AB30" s="5">
        <f>'1640'!$S$30</f>
        <v>0.49236596391733095</v>
      </c>
      <c r="AC30" s="5">
        <f>'1640'!$U$22</f>
        <v>0.8</v>
      </c>
      <c r="AD30" s="5">
        <f>'1640'!$U$24</f>
        <v>0</v>
      </c>
      <c r="AE30" s="5" t="e">
        <f>'1640'!$S$27</f>
        <v>#DIV/0!</v>
      </c>
      <c r="AF30" s="5">
        <f>'1640'!$T$27</f>
        <v>0</v>
      </c>
      <c r="AG30" s="5">
        <f>'1640'!$X$16</f>
        <v>7</v>
      </c>
      <c r="AH30" s="5"/>
      <c r="AI30" s="5">
        <f>'1640'!$A$19</f>
        <v>12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2">
      <c r="A31" s="4">
        <v>1676</v>
      </c>
      <c r="B31" s="5" t="e">
        <f>'1676'!$D$20</f>
        <v>#DIV/0!</v>
      </c>
      <c r="C31" s="5">
        <f>'1676'!$F$20</f>
        <v>1</v>
      </c>
      <c r="D31" s="5">
        <f>'1676'!$D$29</f>
        <v>0</v>
      </c>
      <c r="E31" s="5"/>
      <c r="F31" s="5">
        <f>'1676'!$I$21</f>
        <v>0.7142857142857143</v>
      </c>
      <c r="G31" s="5">
        <f>'1676'!$I$24</f>
        <v>1.6666666666666667</v>
      </c>
      <c r="H31" s="5">
        <f>'1676'!$J$24</f>
        <v>4</v>
      </c>
      <c r="I31" s="5">
        <f>'1676'!$K$24</f>
        <v>1.4354811251305468</v>
      </c>
      <c r="J31" s="5"/>
      <c r="K31" s="5">
        <f>'1676'!$I$26</f>
        <v>0.95</v>
      </c>
      <c r="L31" s="5">
        <f>'1676'!$I$29</f>
        <v>1.5833333333333333</v>
      </c>
      <c r="M31" s="5">
        <f>'1676'!$J$29</f>
        <v>5</v>
      </c>
      <c r="N31" s="5">
        <f>'1676'!$K$29</f>
        <v>1.8319554050414564</v>
      </c>
      <c r="O31" s="5"/>
      <c r="P31" s="5">
        <f>'1676'!$I$34</f>
        <v>0.91666666666666663</v>
      </c>
      <c r="Q31" s="5">
        <f>'1676'!$J$34</f>
        <v>6</v>
      </c>
      <c r="R31" s="5">
        <f>'1676'!$K$34</f>
        <v>1.9752253419585197</v>
      </c>
      <c r="S31" s="5">
        <f>'1676'!$J$37</f>
        <v>2</v>
      </c>
      <c r="T31" s="5"/>
      <c r="U31" s="5">
        <f>'1676'!$N$28</f>
        <v>7.6923076923076927E-2</v>
      </c>
      <c r="V31" s="5">
        <f>'1676'!$N$30</f>
        <v>0.92307692307692313</v>
      </c>
      <c r="W31" s="5"/>
      <c r="X31" s="5">
        <f>'1676'!$S$20</f>
        <v>0</v>
      </c>
      <c r="Y31" s="5">
        <f>'1676'!$T$16</f>
        <v>0</v>
      </c>
      <c r="Z31" s="5">
        <f>'1676'!$S$22</f>
        <v>0.5</v>
      </c>
      <c r="AA31" s="5">
        <f>'1676'!$V$16</f>
        <v>1</v>
      </c>
      <c r="AB31" s="5">
        <f>'1676'!$S$30</f>
        <v>0.28867513459481287</v>
      </c>
      <c r="AC31" s="5">
        <f>'1676'!$U$22</f>
        <v>0.5</v>
      </c>
      <c r="AD31" s="5" t="e">
        <f>'1676'!$U$24</f>
        <v>#DIV/0!</v>
      </c>
      <c r="AE31" s="5">
        <f>'1676'!$S$27</f>
        <v>1.3333333333333333</v>
      </c>
      <c r="AF31" s="5">
        <f>'1676'!$T$27</f>
        <v>2</v>
      </c>
      <c r="AG31" s="5">
        <f>'1676'!$X$16</f>
        <v>11</v>
      </c>
      <c r="AH31" s="5"/>
      <c r="AI31" s="5">
        <f>'1676'!$A$19</f>
        <v>12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2">
      <c r="A32" s="4">
        <v>1712</v>
      </c>
      <c r="B32" s="5">
        <f>'1712'!$D$20</f>
        <v>0.9</v>
      </c>
      <c r="C32" s="5">
        <f>'1712'!$F$20</f>
        <v>1</v>
      </c>
      <c r="D32" s="5">
        <f>'1712'!$D$29</f>
        <v>0.5</v>
      </c>
      <c r="E32" s="5"/>
      <c r="F32" s="5">
        <f>'1712'!$I$21</f>
        <v>0.77777777777777779</v>
      </c>
      <c r="G32" s="5">
        <f>'1712'!$I$24</f>
        <v>2.9166666666666665</v>
      </c>
      <c r="H32" s="5">
        <f>'1712'!$J$24</f>
        <v>5</v>
      </c>
      <c r="I32" s="5">
        <f>'1712'!$K$24</f>
        <v>1.7298624923456323</v>
      </c>
      <c r="J32" s="5"/>
      <c r="K32" s="5">
        <f>'1712'!$I$26</f>
        <v>0.75</v>
      </c>
      <c r="L32" s="5">
        <f>'1712'!$I$29</f>
        <v>0.25</v>
      </c>
      <c r="M32" s="5">
        <f>'1712'!$J$29</f>
        <v>1</v>
      </c>
      <c r="N32" s="5">
        <f>'1712'!$K$29</f>
        <v>0.45226701686664544</v>
      </c>
      <c r="O32" s="5"/>
      <c r="P32" s="5">
        <f>'1712'!$I$34</f>
        <v>1.8333333333333333</v>
      </c>
      <c r="Q32" s="5">
        <f>'1712'!$J$34</f>
        <v>8</v>
      </c>
      <c r="R32" s="5">
        <f>'1712'!$K$34</f>
        <v>2.9797294975866313</v>
      </c>
      <c r="S32" s="5">
        <f>'1712'!$J$37</f>
        <v>7</v>
      </c>
      <c r="T32" s="5"/>
      <c r="U32" s="5">
        <f>'1712'!$N$28</f>
        <v>0.22222222222222221</v>
      </c>
      <c r="V32" s="5">
        <f>'1712'!$N$30</f>
        <v>0.77777777777777779</v>
      </c>
      <c r="W32" s="5"/>
      <c r="X32" s="5">
        <f>'1712'!$S$20</f>
        <v>0</v>
      </c>
      <c r="Y32" s="5">
        <f>'1712'!$T$16</f>
        <v>0</v>
      </c>
      <c r="Z32" s="5" t="e">
        <f>'1712'!$S$22</f>
        <v>#DIV/0!</v>
      </c>
      <c r="AA32" s="5">
        <f>'1712'!$V$16</f>
        <v>0</v>
      </c>
      <c r="AB32" s="5">
        <f>'1712'!$S$30</f>
        <v>0</v>
      </c>
      <c r="AC32" s="5" t="e">
        <f>'1712'!$U$22</f>
        <v>#DIV/0!</v>
      </c>
      <c r="AD32" s="5" t="e">
        <f>'1712'!$U$24</f>
        <v>#DIV/0!</v>
      </c>
      <c r="AE32" s="5" t="e">
        <f>'1712'!$S$27</f>
        <v>#DIV/0!</v>
      </c>
      <c r="AF32" s="5">
        <f>'1712'!$T$27</f>
        <v>0</v>
      </c>
      <c r="AG32" s="5">
        <f>'1712'!$X$16</f>
        <v>11</v>
      </c>
      <c r="AH32" s="5"/>
      <c r="AI32" s="5">
        <f>'1712'!$A$19</f>
        <v>12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2">
      <c r="A33" s="4">
        <v>1807</v>
      </c>
      <c r="B33" s="5" t="e">
        <f>'1807'!$D$20</f>
        <v>#DIV/0!</v>
      </c>
      <c r="C33" s="5">
        <f>'1807'!$F$20</f>
        <v>0</v>
      </c>
      <c r="D33" s="5">
        <f>'1807'!$D$29</f>
        <v>0</v>
      </c>
      <c r="E33" s="5"/>
      <c r="F33" s="5">
        <f>'1807'!$I$21</f>
        <v>0.7142857142857143</v>
      </c>
      <c r="G33" s="5">
        <f>'1807'!$I$24</f>
        <v>2.5</v>
      </c>
      <c r="H33" s="5">
        <f>'1807'!$J$24</f>
        <v>6</v>
      </c>
      <c r="I33" s="5">
        <f>'1807'!$K$24</f>
        <v>2.0225995873897262</v>
      </c>
      <c r="J33" s="5"/>
      <c r="K33" s="5">
        <f>'1807'!$I$26</f>
        <v>1</v>
      </c>
      <c r="L33" s="5">
        <f>'1807'!$I$29</f>
        <v>0.91666666666666663</v>
      </c>
      <c r="M33" s="5">
        <f>'1807'!$J$29</f>
        <v>3</v>
      </c>
      <c r="N33" s="5">
        <f>'1807'!$K$29</f>
        <v>1.0836246694508316</v>
      </c>
      <c r="O33" s="5"/>
      <c r="P33" s="5">
        <f>'1807'!$I$34</f>
        <v>1.1666666666666667</v>
      </c>
      <c r="Q33" s="5">
        <f>'1807'!$J$34</f>
        <v>6</v>
      </c>
      <c r="R33" s="5">
        <f>'1807'!$K$34</f>
        <v>2.2087978356535665</v>
      </c>
      <c r="S33" s="5">
        <f>'1807'!$J$37</f>
        <v>6</v>
      </c>
      <c r="T33" s="5"/>
      <c r="U33" s="5">
        <f>'1807'!$N$28</f>
        <v>0.23749999999999999</v>
      </c>
      <c r="V33" s="5">
        <f>'1807'!$N$30</f>
        <v>0.76249999999999996</v>
      </c>
      <c r="W33" s="5"/>
      <c r="X33" s="5">
        <f>'1807'!$S$20</f>
        <v>0</v>
      </c>
      <c r="Y33" s="5">
        <f>'1807'!$T$16</f>
        <v>0</v>
      </c>
      <c r="Z33" s="5" t="e">
        <f>'1807'!$S$22</f>
        <v>#DIV/0!</v>
      </c>
      <c r="AA33" s="5">
        <f>'1807'!$V$16</f>
        <v>0</v>
      </c>
      <c r="AB33" s="5">
        <f>'1807'!$S$30</f>
        <v>0</v>
      </c>
      <c r="AC33" s="5" t="e">
        <f>'1807'!$U$22</f>
        <v>#DIV/0!</v>
      </c>
      <c r="AD33" s="5" t="e">
        <f>'1807'!$U$24</f>
        <v>#DIV/0!</v>
      </c>
      <c r="AE33" s="5" t="e">
        <f>'1807'!$S$27</f>
        <v>#DIV/0!</v>
      </c>
      <c r="AF33" s="5">
        <f>'1807'!$T$27</f>
        <v>0</v>
      </c>
      <c r="AG33" s="5">
        <f>'1807'!$X$16</f>
        <v>12</v>
      </c>
      <c r="AH33" s="5"/>
      <c r="AI33" s="5">
        <f>'1807'!$A$19</f>
        <v>12</v>
      </c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2">
      <c r="A34" s="4">
        <v>1923</v>
      </c>
      <c r="B34" s="5">
        <f>'1923'!$D$20</f>
        <v>0.66666666666666663</v>
      </c>
      <c r="C34" s="5">
        <f>'1923'!$F$20</f>
        <v>0.5</v>
      </c>
      <c r="D34" s="5">
        <f>'1923'!$D$29</f>
        <v>0.70710678118654757</v>
      </c>
      <c r="E34" s="5"/>
      <c r="F34" s="5">
        <f>'1923'!$I$21</f>
        <v>0.81666666666666665</v>
      </c>
      <c r="G34" s="5">
        <f>'1923'!$I$24</f>
        <v>4.083333333333333</v>
      </c>
      <c r="H34" s="5">
        <f>'1923'!$J$24</f>
        <v>6</v>
      </c>
      <c r="I34" s="5">
        <f>'1923'!$K$24</f>
        <v>1.3789543689024488</v>
      </c>
      <c r="J34" s="5"/>
      <c r="K34" s="5">
        <f>'1923'!$I$26</f>
        <v>1</v>
      </c>
      <c r="L34" s="5">
        <f>'1923'!$I$29</f>
        <v>0.41666666666666669</v>
      </c>
      <c r="M34" s="5">
        <f>'1923'!$J$29</f>
        <v>3</v>
      </c>
      <c r="N34" s="5">
        <f>'1923'!$K$29</f>
        <v>0.90033663737851999</v>
      </c>
      <c r="O34" s="5"/>
      <c r="P34" s="5">
        <f>'1923'!$I$34</f>
        <v>0.75</v>
      </c>
      <c r="Q34" s="5">
        <f>'1923'!$J$34</f>
        <v>7</v>
      </c>
      <c r="R34" s="5">
        <f>'1923'!$K$34</f>
        <v>2.0056737702645644</v>
      </c>
      <c r="S34" s="5">
        <f>'1923'!$J$37</f>
        <v>3</v>
      </c>
      <c r="T34" s="5"/>
      <c r="U34" s="5">
        <f>'1923'!$N$28</f>
        <v>0.18181818181818182</v>
      </c>
      <c r="V34" s="5">
        <f>'1923'!$N$30</f>
        <v>0.81818181818181823</v>
      </c>
      <c r="W34" s="5"/>
      <c r="X34" s="5">
        <f>'1923'!$S$20</f>
        <v>0</v>
      </c>
      <c r="Y34" s="5">
        <f>'1923'!$T$16</f>
        <v>0</v>
      </c>
      <c r="Z34" s="5">
        <f>'1923'!$S$22</f>
        <v>0.4</v>
      </c>
      <c r="AA34" s="5">
        <f>'1923'!$V$16</f>
        <v>2</v>
      </c>
      <c r="AB34" s="5">
        <f>'1923'!$S$30</f>
        <v>0.38924947208076149</v>
      </c>
      <c r="AC34" s="5">
        <f>'1923'!$U$22</f>
        <v>0.25</v>
      </c>
      <c r="AD34" s="5">
        <f>'1923'!$U$24</f>
        <v>1</v>
      </c>
      <c r="AE34" s="5" t="e">
        <f>'1923'!$S$27</f>
        <v>#DIV/0!</v>
      </c>
      <c r="AF34" s="5">
        <f>'1923'!$T$27</f>
        <v>0</v>
      </c>
      <c r="AG34" s="5">
        <f>'1923'!$X$16</f>
        <v>10</v>
      </c>
      <c r="AH34" s="5"/>
      <c r="AI34" s="5">
        <f>'1923'!$A$19</f>
        <v>12</v>
      </c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2">
      <c r="A35" s="4">
        <v>1989</v>
      </c>
      <c r="B35" s="5" t="e">
        <f>'1989'!$D$20</f>
        <v>#DIV/0!</v>
      </c>
      <c r="C35" s="5">
        <f>'1989'!$F$20</f>
        <v>1</v>
      </c>
      <c r="D35" s="5">
        <f>'1989'!$D$29</f>
        <v>0</v>
      </c>
      <c r="E35" s="5"/>
      <c r="F35" s="5">
        <f>'1989'!$I$21</f>
        <v>0.8666666666666667</v>
      </c>
      <c r="G35" s="5">
        <f>'1989'!$I$24</f>
        <v>1.0833333333333333</v>
      </c>
      <c r="H35" s="5">
        <f>'1989'!$J$24</f>
        <v>5</v>
      </c>
      <c r="I35" s="5">
        <f>'1989'!$K$24</f>
        <v>1.9752253419585197</v>
      </c>
      <c r="J35" s="5"/>
      <c r="K35" s="5">
        <f>'1989'!$I$26</f>
        <v>0.95833333333333337</v>
      </c>
      <c r="L35" s="5">
        <f>'1989'!$I$29</f>
        <v>1.9166666666666667</v>
      </c>
      <c r="M35" s="5">
        <f>'1989'!$J$29</f>
        <v>5</v>
      </c>
      <c r="N35" s="5">
        <f>'1989'!$K$29</f>
        <v>1.8319554050414562</v>
      </c>
      <c r="O35" s="5"/>
      <c r="P35" s="5">
        <f>'1989'!$I$34</f>
        <v>2.5833333333333335</v>
      </c>
      <c r="Q35" s="5">
        <f>'1989'!$J$34</f>
        <v>7</v>
      </c>
      <c r="R35" s="5">
        <f>'1989'!$K$34</f>
        <v>2.7122058561364044</v>
      </c>
      <c r="S35" s="5">
        <f>'1989'!$J$37</f>
        <v>0</v>
      </c>
      <c r="T35" s="5"/>
      <c r="U35" s="5">
        <f>'1989'!$N$28</f>
        <v>0</v>
      </c>
      <c r="V35" s="5">
        <f>'1989'!$N$30</f>
        <v>1</v>
      </c>
      <c r="W35" s="5"/>
      <c r="X35" s="5">
        <f>'1989'!$S$20</f>
        <v>0</v>
      </c>
      <c r="Y35" s="5">
        <f>'1989'!$T$16</f>
        <v>0</v>
      </c>
      <c r="Z35" s="5">
        <f>'1989'!$S$22</f>
        <v>0.4</v>
      </c>
      <c r="AA35" s="5">
        <f>'1989'!$V$16</f>
        <v>2</v>
      </c>
      <c r="AB35" s="5">
        <f>'1989'!$S$30</f>
        <v>0.38924947208076149</v>
      </c>
      <c r="AC35" s="5">
        <f>'1989'!$U$22</f>
        <v>0.5</v>
      </c>
      <c r="AD35" s="5" t="e">
        <f>'1989'!$U$24</f>
        <v>#DIV/0!</v>
      </c>
      <c r="AE35" s="5" t="e">
        <f>'1989'!$S$27</f>
        <v>#DIV/0!</v>
      </c>
      <c r="AF35" s="5">
        <f>'1989'!$T$27</f>
        <v>0</v>
      </c>
      <c r="AG35" s="5">
        <f>'1989'!$X$16</f>
        <v>9</v>
      </c>
      <c r="AH35" s="5"/>
      <c r="AI35" s="5">
        <f>'1989'!$A$19</f>
        <v>12</v>
      </c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2">
      <c r="A36" s="4">
        <v>2016</v>
      </c>
      <c r="B36" s="5" t="e">
        <f>'2016'!$D$20</f>
        <v>#DIV/0!</v>
      </c>
      <c r="C36" s="5">
        <f>'2016'!$F$20</f>
        <v>0.9</v>
      </c>
      <c r="D36" s="5">
        <f>'2016'!$D$29</f>
        <v>0.70710678118654757</v>
      </c>
      <c r="E36" s="5"/>
      <c r="F36" s="5" t="e">
        <f>'2016'!$I$21</f>
        <v>#DIV/0!</v>
      </c>
      <c r="G36" s="5">
        <f>'2016'!$I$24</f>
        <v>0</v>
      </c>
      <c r="H36" s="5">
        <f>'2016'!$J$24</f>
        <v>0</v>
      </c>
      <c r="I36" s="5">
        <f>'2016'!$K$24</f>
        <v>0</v>
      </c>
      <c r="J36" s="5"/>
      <c r="K36" s="5">
        <f>'2016'!$I$26</f>
        <v>0.91666666666666663</v>
      </c>
      <c r="L36" s="5">
        <f>'2016'!$I$29</f>
        <v>0.91666666666666663</v>
      </c>
      <c r="M36" s="5">
        <f>'2016'!$J$29</f>
        <v>3</v>
      </c>
      <c r="N36" s="5">
        <f>'2016'!$K$29</f>
        <v>0.99620491989562188</v>
      </c>
      <c r="O36" s="5"/>
      <c r="P36" s="5">
        <f>'2016'!$I$34</f>
        <v>6</v>
      </c>
      <c r="Q36" s="5">
        <f>'2016'!$J$34</f>
        <v>9</v>
      </c>
      <c r="R36" s="5">
        <f>'2016'!$K$34</f>
        <v>3.3574882386580707</v>
      </c>
      <c r="S36" s="5">
        <f>'2016'!$J$37</f>
        <v>5</v>
      </c>
      <c r="T36" s="5"/>
      <c r="U36" s="5">
        <f>'2016'!$N$28</f>
        <v>8.8235294117647065E-2</v>
      </c>
      <c r="V36" s="5">
        <f>'2016'!$N$30</f>
        <v>0.91176470588235292</v>
      </c>
      <c r="W36" s="5"/>
      <c r="X36" s="5">
        <f>'2016'!$S$20</f>
        <v>0</v>
      </c>
      <c r="Y36" s="5">
        <f>'2016'!$T$16</f>
        <v>0</v>
      </c>
      <c r="Z36" s="5">
        <f>'2016'!$S$22</f>
        <v>0</v>
      </c>
      <c r="AA36" s="5">
        <f>'2016'!$V$16</f>
        <v>0</v>
      </c>
      <c r="AB36" s="5">
        <f>'2016'!$S$30</f>
        <v>0</v>
      </c>
      <c r="AC36" s="5" t="e">
        <f>'2016'!$U$22</f>
        <v>#DIV/0!</v>
      </c>
      <c r="AD36" s="5">
        <f>'2016'!$U$24</f>
        <v>0</v>
      </c>
      <c r="AE36" s="5" t="e">
        <f>'2016'!$S$27</f>
        <v>#DIV/0!</v>
      </c>
      <c r="AF36" s="5">
        <f>'2016'!$T$27</f>
        <v>0</v>
      </c>
      <c r="AG36" s="5">
        <f>'2016'!$X$16</f>
        <v>12</v>
      </c>
      <c r="AH36" s="5"/>
      <c r="AI36" s="5">
        <f>'2016'!$A$19</f>
        <v>12</v>
      </c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2">
      <c r="A37" s="4">
        <v>2180</v>
      </c>
      <c r="B37" s="5">
        <f>'2180'!$D$20</f>
        <v>0</v>
      </c>
      <c r="C37" s="5">
        <f>'2180'!$F$20</f>
        <v>0.66666666666666663</v>
      </c>
      <c r="D37" s="5">
        <f>'2180'!$D$29</f>
        <v>0.57735026918962584</v>
      </c>
      <c r="E37" s="5"/>
      <c r="F37" s="5">
        <f>'2180'!$I$21</f>
        <v>0.94594594594594594</v>
      </c>
      <c r="G37" s="5">
        <f>'2180'!$I$24</f>
        <v>3.1818181818181817</v>
      </c>
      <c r="H37" s="5">
        <f>'2180'!$J$24</f>
        <v>5</v>
      </c>
      <c r="I37" s="5">
        <f>'2180'!$K$24</f>
        <v>1.5374122295716151</v>
      </c>
      <c r="J37" s="5"/>
      <c r="K37" s="5">
        <f>'2180'!$I$26</f>
        <v>0.8571428571428571</v>
      </c>
      <c r="L37" s="5">
        <f>'2180'!$I$29</f>
        <v>0.54545454545454541</v>
      </c>
      <c r="M37" s="5">
        <f>'2180'!$J$29</f>
        <v>3</v>
      </c>
      <c r="N37" s="5">
        <f>'2180'!$K$29</f>
        <v>0.9341987329938275</v>
      </c>
      <c r="O37" s="5"/>
      <c r="P37" s="5">
        <f>'2180'!$I$34</f>
        <v>1.1818181818181819</v>
      </c>
      <c r="Q37" s="5">
        <f>'2180'!$J$34</f>
        <v>7</v>
      </c>
      <c r="R37" s="5">
        <f>'2180'!$K$34</f>
        <v>2.3159525823376361</v>
      </c>
      <c r="S37" s="5">
        <f>'2180'!$J$37</f>
        <v>4</v>
      </c>
      <c r="T37" s="5"/>
      <c r="U37" s="5">
        <f>'2180'!$N$28</f>
        <v>0.23880597014925373</v>
      </c>
      <c r="V37" s="5">
        <f>'2180'!$N$30</f>
        <v>0.76119402985074625</v>
      </c>
      <c r="W37" s="5"/>
      <c r="X37" s="5">
        <f>'2180'!$S$20</f>
        <v>0</v>
      </c>
      <c r="Y37" s="5">
        <f>'2180'!$T$16</f>
        <v>0</v>
      </c>
      <c r="Z37" s="5">
        <f>'2180'!$S$22</f>
        <v>0</v>
      </c>
      <c r="AA37" s="5">
        <f>'2180'!$V$16</f>
        <v>0</v>
      </c>
      <c r="AB37" s="5">
        <f>'2180'!$S$30</f>
        <v>0</v>
      </c>
      <c r="AC37" s="5" t="e">
        <f>'2180'!$U$22</f>
        <v>#DIV/0!</v>
      </c>
      <c r="AD37" s="5">
        <f>'2180'!$U$24</f>
        <v>0</v>
      </c>
      <c r="AE37" s="5" t="e">
        <f>'2180'!$S$27</f>
        <v>#DIV/0!</v>
      </c>
      <c r="AF37" s="5">
        <f>'2180'!$T$27</f>
        <v>0</v>
      </c>
      <c r="AG37" s="5">
        <f>'2180'!$X$16</f>
        <v>7</v>
      </c>
      <c r="AH37" s="5"/>
      <c r="AI37" s="5">
        <f>'2180'!$A$19</f>
        <v>11</v>
      </c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2">
      <c r="A38" s="4">
        <v>2495</v>
      </c>
      <c r="B38" s="5">
        <f>'2495'!$D$20</f>
        <v>0.5</v>
      </c>
      <c r="C38" s="5">
        <f>'2495'!$F$20</f>
        <v>0.88888888888888884</v>
      </c>
      <c r="D38" s="5">
        <f>'2495'!$D$29</f>
        <v>0.33333333333333343</v>
      </c>
      <c r="E38" s="5"/>
      <c r="F38" s="5">
        <f>'2495'!$I$21</f>
        <v>0.66666666666666663</v>
      </c>
      <c r="G38" s="5">
        <f>'2495'!$I$24</f>
        <v>1</v>
      </c>
      <c r="H38" s="5">
        <f>'2495'!$J$24</f>
        <v>4</v>
      </c>
      <c r="I38" s="5">
        <f>'2495'!$K$24</f>
        <v>1.4142135623730951</v>
      </c>
      <c r="J38" s="5"/>
      <c r="K38" s="5">
        <f>'2495'!$I$26</f>
        <v>0.9375</v>
      </c>
      <c r="L38" s="5">
        <f>'2495'!$I$29</f>
        <v>1.25</v>
      </c>
      <c r="M38" s="5">
        <f>'2495'!$J$29</f>
        <v>4</v>
      </c>
      <c r="N38" s="5">
        <f>'2495'!$K$29</f>
        <v>1.3568010505999362</v>
      </c>
      <c r="O38" s="5"/>
      <c r="P38" s="5">
        <f>'2495'!$I$34</f>
        <v>2.6666666666666665</v>
      </c>
      <c r="Q38" s="5">
        <f>'2495'!$J$34</f>
        <v>7</v>
      </c>
      <c r="R38" s="5">
        <f>'2495'!$K$34</f>
        <v>2.9336088024923512</v>
      </c>
      <c r="S38" s="5">
        <f>'2495'!$J$37</f>
        <v>1</v>
      </c>
      <c r="T38" s="5"/>
      <c r="U38" s="5">
        <f>'2495'!$N$28</f>
        <v>0</v>
      </c>
      <c r="V38" s="5">
        <f>'2495'!$N$30</f>
        <v>1</v>
      </c>
      <c r="W38" s="5"/>
      <c r="X38" s="5">
        <f>'2495'!$S$20</f>
        <v>0</v>
      </c>
      <c r="Y38" s="5">
        <f>'2495'!$T$16</f>
        <v>0</v>
      </c>
      <c r="Z38" s="5">
        <f>'2495'!$S$22</f>
        <v>1</v>
      </c>
      <c r="AA38" s="5">
        <f>'2495'!$V$16</f>
        <v>4</v>
      </c>
      <c r="AB38" s="5">
        <f>'2495'!$S$30</f>
        <v>0.49236596391733095</v>
      </c>
      <c r="AC38" s="5">
        <f>'2495'!$U$22</f>
        <v>1</v>
      </c>
      <c r="AD38" s="5">
        <f>'2495'!$U$24</f>
        <v>1</v>
      </c>
      <c r="AE38" s="5" t="e">
        <f>'2495'!$S$27</f>
        <v>#DIV/0!</v>
      </c>
      <c r="AF38" s="5">
        <f>'2495'!$T$27</f>
        <v>0</v>
      </c>
      <c r="AG38" s="5">
        <f>'2495'!$X$16</f>
        <v>7</v>
      </c>
      <c r="AH38" s="5"/>
      <c r="AI38" s="5">
        <f>'2495'!$A$19</f>
        <v>12</v>
      </c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2">
      <c r="A39" s="4">
        <v>2539</v>
      </c>
      <c r="B39" s="5">
        <f>'2539'!$D$20</f>
        <v>0.66666666666666663</v>
      </c>
      <c r="C39" s="5">
        <f>'2539'!$F$20</f>
        <v>1</v>
      </c>
      <c r="D39" s="5">
        <f>'2539'!$D$29</f>
        <v>0</v>
      </c>
      <c r="E39" s="5"/>
      <c r="F39" s="5">
        <f>'2539'!$I$21</f>
        <v>0.93023255813953487</v>
      </c>
      <c r="G39" s="5">
        <f>'2539'!$I$24</f>
        <v>3.3333333333333335</v>
      </c>
      <c r="H39" s="5">
        <f>'2539'!$J$24</f>
        <v>5</v>
      </c>
      <c r="I39" s="5">
        <f>'2539'!$K$24</f>
        <v>1.5569978883230458</v>
      </c>
      <c r="J39" s="5"/>
      <c r="K39" s="5">
        <f>'2539'!$I$26</f>
        <v>1</v>
      </c>
      <c r="L39" s="5">
        <f>'2539'!$I$29</f>
        <v>1.1666666666666667</v>
      </c>
      <c r="M39" s="5">
        <f>'2539'!$J$29</f>
        <v>4</v>
      </c>
      <c r="N39" s="5">
        <f>'2539'!$K$29</f>
        <v>1.6422453217986943</v>
      </c>
      <c r="O39" s="5"/>
      <c r="P39" s="5">
        <f>'2539'!$I$34</f>
        <v>0.91666666666666663</v>
      </c>
      <c r="Q39" s="5">
        <f>'2539'!$J$34</f>
        <v>6</v>
      </c>
      <c r="R39" s="5">
        <f>'2539'!$K$34</f>
        <v>2.151461800448216</v>
      </c>
      <c r="S39" s="5">
        <f>'2539'!$J$37</f>
        <v>4</v>
      </c>
      <c r="T39" s="5"/>
      <c r="U39" s="5">
        <f>'2539'!$N$28</f>
        <v>0.17808219178082191</v>
      </c>
      <c r="V39" s="5">
        <f>'2539'!$N$30</f>
        <v>0.82191780821917804</v>
      </c>
      <c r="W39" s="5"/>
      <c r="X39" s="5">
        <f>'2539'!$S$20</f>
        <v>0</v>
      </c>
      <c r="Y39" s="5">
        <f>'2539'!$T$16</f>
        <v>0</v>
      </c>
      <c r="Z39" s="5">
        <f>'2539'!$S$22</f>
        <v>1</v>
      </c>
      <c r="AA39" s="5">
        <f>'2539'!$V$16</f>
        <v>8</v>
      </c>
      <c r="AB39" s="5">
        <f>'2539'!$S$30</f>
        <v>0.49236596391733095</v>
      </c>
      <c r="AC39" s="5">
        <f>'2539'!$U$22</f>
        <v>1</v>
      </c>
      <c r="AD39" s="5" t="e">
        <f>'2539'!$U$24</f>
        <v>#DIV/0!</v>
      </c>
      <c r="AE39" s="5" t="e">
        <f>'2539'!$S$27</f>
        <v>#DIV/0!</v>
      </c>
      <c r="AF39" s="5">
        <f>'2539'!$T$27</f>
        <v>0</v>
      </c>
      <c r="AG39" s="5">
        <f>'2539'!$X$16</f>
        <v>4</v>
      </c>
      <c r="AH39" s="5"/>
      <c r="AI39" s="5">
        <f>'2539'!$A$19</f>
        <v>12</v>
      </c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2">
      <c r="A40" s="4">
        <v>2590</v>
      </c>
      <c r="B40" s="5">
        <f>'2590'!$D$20</f>
        <v>0.75</v>
      </c>
      <c r="C40" s="5">
        <f>'2590'!$F$20</f>
        <v>0.66666666666666663</v>
      </c>
      <c r="D40" s="5">
        <f>'2590'!$D$29</f>
        <v>1.1547005383792517</v>
      </c>
      <c r="E40" s="5"/>
      <c r="F40" s="5">
        <f>'2590'!$I$21</f>
        <v>0.92452830188679247</v>
      </c>
      <c r="G40" s="5">
        <f>'2590'!$I$24</f>
        <v>4.083333333333333</v>
      </c>
      <c r="H40" s="5">
        <f>'2590'!$J$24</f>
        <v>6</v>
      </c>
      <c r="I40" s="5">
        <f>'2590'!$K$24</f>
        <v>1.7816403745544227</v>
      </c>
      <c r="J40" s="5"/>
      <c r="K40" s="5">
        <f>'2590'!$I$26</f>
        <v>1</v>
      </c>
      <c r="L40" s="5">
        <f>'2590'!$I$29</f>
        <v>1</v>
      </c>
      <c r="M40" s="5">
        <f>'2590'!$J$29</f>
        <v>5</v>
      </c>
      <c r="N40" s="5">
        <f>'2590'!$K$29</f>
        <v>1.7056057308448835</v>
      </c>
      <c r="O40" s="5"/>
      <c r="P40" s="5">
        <f>'2590'!$I$34</f>
        <v>0.66666666666666663</v>
      </c>
      <c r="Q40" s="5">
        <f>'2590'!$J$34</f>
        <v>6</v>
      </c>
      <c r="R40" s="5">
        <f>'2590'!$K$34</f>
        <v>1.7752507291971891</v>
      </c>
      <c r="S40" s="5">
        <f>'2590'!$J$37</f>
        <v>3</v>
      </c>
      <c r="T40" s="5"/>
      <c r="U40" s="5">
        <f>'2590'!$N$28</f>
        <v>0.17499999999999999</v>
      </c>
      <c r="V40" s="5">
        <f>'2590'!$N$30</f>
        <v>0.82499999999999996</v>
      </c>
      <c r="W40" s="5"/>
      <c r="X40" s="5" t="e">
        <f>'2590'!$S$20</f>
        <v>#DIV/0!</v>
      </c>
      <c r="Y40" s="5">
        <f>'2590'!$T$16</f>
        <v>0</v>
      </c>
      <c r="Z40" s="5">
        <f>'2590'!$S$22</f>
        <v>1</v>
      </c>
      <c r="AA40" s="5">
        <f>'2590'!$V$16</f>
        <v>11</v>
      </c>
      <c r="AB40" s="5">
        <f>'2590'!$S$30</f>
        <v>0.28867513459481275</v>
      </c>
      <c r="AC40" s="5">
        <f>'2590'!$U$22</f>
        <v>1</v>
      </c>
      <c r="AD40" s="5">
        <f>'2590'!$U$24</f>
        <v>1</v>
      </c>
      <c r="AE40" s="5">
        <f>'2590'!$S$27</f>
        <v>1.125</v>
      </c>
      <c r="AF40" s="5">
        <f>'2590'!$T$27</f>
        <v>2</v>
      </c>
      <c r="AG40" s="5">
        <f>'2590'!$X$16</f>
        <v>1</v>
      </c>
      <c r="AH40" s="5"/>
      <c r="AI40" s="5">
        <f>'2590'!$A$19</f>
        <v>12</v>
      </c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2">
      <c r="A41" s="4">
        <v>2600</v>
      </c>
      <c r="B41" s="5" t="e">
        <f>'2600'!$D$20</f>
        <v>#DIV/0!</v>
      </c>
      <c r="C41" s="5">
        <f>'2600'!$F$20</f>
        <v>0.83333333333333337</v>
      </c>
      <c r="D41" s="5">
        <f>'2600'!$D$29</f>
        <v>0.40824829046386296</v>
      </c>
      <c r="E41" s="5"/>
      <c r="F41" s="5" t="e">
        <f>'2600'!$I$21</f>
        <v>#DIV/0!</v>
      </c>
      <c r="G41" s="5">
        <f>'2600'!$I$24</f>
        <v>0</v>
      </c>
      <c r="H41" s="5">
        <f>'2600'!$J$24</f>
        <v>0</v>
      </c>
      <c r="I41" s="5">
        <f>'2600'!$K$24</f>
        <v>0</v>
      </c>
      <c r="J41" s="5"/>
      <c r="K41" s="5">
        <f>'2600'!$I$26</f>
        <v>0.6</v>
      </c>
      <c r="L41" s="5">
        <f>'2600'!$I$29</f>
        <v>1.3636363636363635</v>
      </c>
      <c r="M41" s="5">
        <f>'2600'!$J$29</f>
        <v>5</v>
      </c>
      <c r="N41" s="5">
        <f>'2600'!$K$29</f>
        <v>1.4333685689819819</v>
      </c>
      <c r="O41" s="5"/>
      <c r="P41" s="5">
        <f>'2600'!$I$34</f>
        <v>5.6363636363636367</v>
      </c>
      <c r="Q41" s="5">
        <f>'2600'!$J$34</f>
        <v>9</v>
      </c>
      <c r="R41" s="5">
        <f>'2600'!$K$34</f>
        <v>3.2022719207689807</v>
      </c>
      <c r="S41" s="5">
        <f>'2600'!$J$37</f>
        <v>5</v>
      </c>
      <c r="T41" s="5"/>
      <c r="U41" s="5">
        <f>'2600'!$N$28</f>
        <v>0.10526315789473684</v>
      </c>
      <c r="V41" s="5">
        <f>'2600'!$N$30</f>
        <v>0.89473684210526316</v>
      </c>
      <c r="W41" s="5"/>
      <c r="X41" s="5">
        <f>'2600'!$S$20</f>
        <v>0</v>
      </c>
      <c r="Y41" s="5">
        <f>'2600'!$T$16</f>
        <v>0</v>
      </c>
      <c r="Z41" s="5">
        <f>'2600'!$S$22</f>
        <v>0</v>
      </c>
      <c r="AA41" s="5">
        <f>'2600'!$V$16</f>
        <v>0</v>
      </c>
      <c r="AB41" s="5">
        <f>'2600'!$S$30</f>
        <v>0</v>
      </c>
      <c r="AC41" s="5" t="e">
        <f>'2600'!$U$22</f>
        <v>#DIV/0!</v>
      </c>
      <c r="AD41" s="5">
        <f>'2600'!$U$24</f>
        <v>0</v>
      </c>
      <c r="AE41" s="5" t="e">
        <f>'2600'!$S$27</f>
        <v>#DIV/0!</v>
      </c>
      <c r="AF41" s="5">
        <f>'2600'!$T$27</f>
        <v>0</v>
      </c>
      <c r="AG41" s="5">
        <f>'2600'!$X$16</f>
        <v>9</v>
      </c>
      <c r="AH41" s="5"/>
      <c r="AI41" s="5">
        <f>'2600'!$A$19</f>
        <v>11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50" x14ac:dyDescent="0.2">
      <c r="A42" s="4">
        <v>2607</v>
      </c>
      <c r="B42" s="5" t="e">
        <f>'2607'!$D$20</f>
        <v>#DIV/0!</v>
      </c>
      <c r="C42" s="5">
        <f>'2607'!$F$20</f>
        <v>0.5</v>
      </c>
      <c r="D42" s="5">
        <f>'2607'!$D$29</f>
        <v>0.70710678118654757</v>
      </c>
      <c r="E42" s="5"/>
      <c r="F42" s="5">
        <f>'2607'!$I$21</f>
        <v>0.92307692307692313</v>
      </c>
      <c r="G42" s="5">
        <f>'2607'!$I$24</f>
        <v>3</v>
      </c>
      <c r="H42" s="5">
        <f>'2607'!$J$24</f>
        <v>6</v>
      </c>
      <c r="I42" s="5">
        <f>'2607'!$K$24</f>
        <v>2.0449494325821802</v>
      </c>
      <c r="J42" s="5"/>
      <c r="K42" s="5">
        <f>'2607'!$I$26</f>
        <v>0.8125</v>
      </c>
      <c r="L42" s="5">
        <f>'2607'!$I$29</f>
        <v>1.0833333333333333</v>
      </c>
      <c r="M42" s="5">
        <f>'2607'!$J$29</f>
        <v>4</v>
      </c>
      <c r="N42" s="5">
        <f>'2607'!$K$29</f>
        <v>1.4433756729740643</v>
      </c>
      <c r="O42" s="5"/>
      <c r="P42" s="5">
        <f>'2607'!$I$34</f>
        <v>0.41666666666666669</v>
      </c>
      <c r="Q42" s="5">
        <f>'2607'!$J$34</f>
        <v>3</v>
      </c>
      <c r="R42" s="5">
        <f>'2607'!$K$34</f>
        <v>0.99620491989562188</v>
      </c>
      <c r="S42" s="5">
        <f>'2607'!$J$37</f>
        <v>3</v>
      </c>
      <c r="T42" s="5"/>
      <c r="U42" s="5">
        <f>'2607'!$N$28</f>
        <v>6.3492063492063489E-2</v>
      </c>
      <c r="V42" s="5">
        <f>'2607'!$N$30</f>
        <v>0.93650793650793651</v>
      </c>
      <c r="W42" s="5"/>
      <c r="X42" s="5">
        <f>'2607'!$S$20</f>
        <v>0</v>
      </c>
      <c r="Y42" s="5">
        <f>'2607'!$T$16</f>
        <v>0</v>
      </c>
      <c r="Z42" s="5">
        <f>'2607'!$S$22</f>
        <v>1</v>
      </c>
      <c r="AA42" s="5">
        <f>'2607'!$V$16</f>
        <v>7</v>
      </c>
      <c r="AB42" s="5">
        <f>'2607'!$S$30</f>
        <v>0.51492865054443726</v>
      </c>
      <c r="AC42" s="5">
        <f>'2607'!$U$22</f>
        <v>1</v>
      </c>
      <c r="AD42" s="5" t="e">
        <f>'2607'!$U$24</f>
        <v>#DIV/0!</v>
      </c>
      <c r="AE42" s="5" t="e">
        <f>'2607'!$S$27</f>
        <v>#DIV/0!</v>
      </c>
      <c r="AF42" s="5">
        <f>'2607'!$T$27</f>
        <v>0</v>
      </c>
      <c r="AG42" s="5">
        <f>'2607'!$X$16</f>
        <v>5</v>
      </c>
      <c r="AH42" s="5"/>
      <c r="AI42" s="5">
        <f>'2607'!$A$19</f>
        <v>12</v>
      </c>
    </row>
    <row r="43" spans="1:50" x14ac:dyDescent="0.2">
      <c r="A43" s="4">
        <v>2729</v>
      </c>
      <c r="B43" s="5">
        <f>'2729'!$D$20</f>
        <v>1</v>
      </c>
      <c r="C43" s="5">
        <f>'2729'!$F$20</f>
        <v>1</v>
      </c>
      <c r="D43" s="5">
        <f>'2729'!$D$29</f>
        <v>0</v>
      </c>
      <c r="E43" s="5"/>
      <c r="F43" s="5">
        <f>'2729'!$I$21</f>
        <v>0.88</v>
      </c>
      <c r="G43" s="5">
        <f>'2729'!$I$24</f>
        <v>1.8333333333333333</v>
      </c>
      <c r="H43" s="5">
        <f>'2729'!$J$24</f>
        <v>4</v>
      </c>
      <c r="I43" s="5">
        <f>'2729'!$K$24</f>
        <v>1.4668044012461754</v>
      </c>
      <c r="J43" s="5"/>
      <c r="K43" s="5">
        <f>'2729'!$I$26</f>
        <v>1</v>
      </c>
      <c r="L43" s="5">
        <f>'2729'!$I$29</f>
        <v>0.33333333333333331</v>
      </c>
      <c r="M43" s="5">
        <f>'2729'!$J$29</f>
        <v>2</v>
      </c>
      <c r="N43" s="5">
        <f>'2729'!$K$29</f>
        <v>0.6513389472789296</v>
      </c>
      <c r="O43" s="5"/>
      <c r="P43" s="5">
        <f>'2729'!$I$34</f>
        <v>1.25</v>
      </c>
      <c r="Q43" s="5">
        <f>'2729'!$J$34</f>
        <v>4</v>
      </c>
      <c r="R43" s="5">
        <f>'2729'!$K$34</f>
        <v>1.864744681524183</v>
      </c>
      <c r="S43" s="5">
        <f>'2729'!$J$37</f>
        <v>0</v>
      </c>
      <c r="T43" s="5"/>
      <c r="U43" s="5">
        <f>'2729'!$N$28</f>
        <v>8.1632653061224483E-2</v>
      </c>
      <c r="V43" s="5">
        <f>'2729'!$N$30</f>
        <v>0.91836734693877553</v>
      </c>
      <c r="W43" s="5"/>
      <c r="X43" s="5">
        <f>'2729'!$S$20</f>
        <v>0</v>
      </c>
      <c r="Y43" s="5">
        <f>'2729'!$T$16</f>
        <v>0</v>
      </c>
      <c r="Z43" s="5">
        <f>'2729'!$S$22</f>
        <v>0.5</v>
      </c>
      <c r="AA43" s="5">
        <f>'2729'!$V$16</f>
        <v>4</v>
      </c>
      <c r="AB43" s="5">
        <f>'2729'!$S$30</f>
        <v>0.49236596391733095</v>
      </c>
      <c r="AC43" s="5">
        <f>'2729'!$U$22</f>
        <v>0.42857142857142855</v>
      </c>
      <c r="AD43" s="5" t="e">
        <f>'2729'!$U$24</f>
        <v>#DIV/0!</v>
      </c>
      <c r="AE43" s="5" t="e">
        <f>'2729'!$S$27</f>
        <v>#DIV/0!</v>
      </c>
      <c r="AF43" s="5">
        <f>'2729'!$T$27</f>
        <v>0</v>
      </c>
      <c r="AG43" s="5">
        <f>'2729'!$X$16</f>
        <v>6</v>
      </c>
      <c r="AH43" s="5"/>
      <c r="AI43" s="5">
        <f>'2729'!$A$19</f>
        <v>12</v>
      </c>
    </row>
    <row r="44" spans="1:50" x14ac:dyDescent="0.2">
      <c r="A44" s="4">
        <v>3142</v>
      </c>
      <c r="B44" s="5" t="e">
        <f>'3142'!$D$20</f>
        <v>#DIV/0!</v>
      </c>
      <c r="C44" s="5">
        <f>'3142'!$F$20</f>
        <v>0.75</v>
      </c>
      <c r="D44" s="5">
        <f>'3142'!$D$29</f>
        <v>0.5</v>
      </c>
      <c r="E44" s="5"/>
      <c r="F44" s="5">
        <f>'3142'!$I$21</f>
        <v>0.82352941176470584</v>
      </c>
      <c r="G44" s="5">
        <f>'3142'!$I$24</f>
        <v>2.3333333333333335</v>
      </c>
      <c r="H44" s="5">
        <f>'3142'!$J$24</f>
        <v>4</v>
      </c>
      <c r="I44" s="5">
        <f>'3142'!$K$24</f>
        <v>1.4974726182552529</v>
      </c>
      <c r="J44" s="5"/>
      <c r="K44" s="5">
        <f>'3142'!$I$26</f>
        <v>0.7142857142857143</v>
      </c>
      <c r="L44" s="5">
        <f>'3142'!$I$29</f>
        <v>0.41666666666666669</v>
      </c>
      <c r="M44" s="5">
        <f>'3142'!$J$29</f>
        <v>2</v>
      </c>
      <c r="N44" s="5">
        <f>'3142'!$K$29</f>
        <v>0.66855792342152143</v>
      </c>
      <c r="O44" s="5"/>
      <c r="P44" s="5">
        <f>'3142'!$I$34</f>
        <v>0.41666666666666669</v>
      </c>
      <c r="Q44" s="5">
        <f>'3142'!$J$34</f>
        <v>5</v>
      </c>
      <c r="R44" s="5">
        <f>'3142'!$K$34</f>
        <v>1.4433756729740645</v>
      </c>
      <c r="S44" s="5">
        <f>'3142'!$J$37</f>
        <v>5</v>
      </c>
      <c r="T44" s="5"/>
      <c r="U44" s="5">
        <f>'3142'!$N$28</f>
        <v>4.7619047619047616E-2</v>
      </c>
      <c r="V44" s="5">
        <f>'3142'!$N$30</f>
        <v>0.95238095238095233</v>
      </c>
      <c r="W44" s="5"/>
      <c r="X44" s="5" t="e">
        <f>'3142'!$S$20</f>
        <v>#DIV/0!</v>
      </c>
      <c r="Y44" s="5">
        <f>'3142'!$T$16</f>
        <v>0</v>
      </c>
      <c r="Z44" s="5">
        <f>'3142'!$S$22</f>
        <v>0.88888888888888884</v>
      </c>
      <c r="AA44" s="5">
        <f>'3142'!$V$16</f>
        <v>8</v>
      </c>
      <c r="AB44" s="5">
        <f>'3142'!$S$30</f>
        <v>0.49236596391733095</v>
      </c>
      <c r="AC44" s="5">
        <f>'3142'!$U$22</f>
        <v>0.8571428571428571</v>
      </c>
      <c r="AD44" s="5">
        <f>'3142'!$U$24</f>
        <v>1</v>
      </c>
      <c r="AE44" s="5">
        <f>'3142'!$S$27</f>
        <v>1</v>
      </c>
      <c r="AF44" s="5">
        <f>'3142'!$T$27</f>
        <v>1</v>
      </c>
      <c r="AG44" s="5">
        <f>'3142'!$X$16</f>
        <v>4</v>
      </c>
      <c r="AH44" s="5"/>
      <c r="AI44" s="5">
        <f>'3142'!$A$19</f>
        <v>12</v>
      </c>
    </row>
    <row r="45" spans="1:50" x14ac:dyDescent="0.2">
      <c r="A45" s="4">
        <v>3314</v>
      </c>
      <c r="B45" s="5">
        <f>'3314'!$D$20</f>
        <v>1</v>
      </c>
      <c r="C45" s="5">
        <f>'3314'!$F$20</f>
        <v>1</v>
      </c>
      <c r="D45" s="5">
        <f>'3314'!$D$29</f>
        <v>0</v>
      </c>
      <c r="E45" s="5"/>
      <c r="F45" s="5">
        <f>'3314'!$I$21</f>
        <v>0.90566037735849059</v>
      </c>
      <c r="G45" s="5">
        <f>'3314'!$I$24</f>
        <v>4</v>
      </c>
      <c r="H45" s="5">
        <f>'3314'!$J$24</f>
        <v>6</v>
      </c>
      <c r="I45" s="5">
        <f>'3314'!$K$24</f>
        <v>1.4770978917519928</v>
      </c>
      <c r="J45" s="5"/>
      <c r="K45" s="5">
        <f>'3314'!$I$26</f>
        <v>1</v>
      </c>
      <c r="L45" s="5">
        <f>'3314'!$I$29</f>
        <v>8.3333333333333329E-2</v>
      </c>
      <c r="M45" s="5">
        <f>'3314'!$J$29</f>
        <v>1</v>
      </c>
      <c r="N45" s="5">
        <f>'3314'!$K$29</f>
        <v>0.28867513459481287</v>
      </c>
      <c r="O45" s="5"/>
      <c r="P45" s="5">
        <f>'3314'!$I$34</f>
        <v>0</v>
      </c>
      <c r="Q45" s="5">
        <f>'3314'!$J$34</f>
        <v>0</v>
      </c>
      <c r="R45" s="5">
        <f>'3314'!$K$34</f>
        <v>0</v>
      </c>
      <c r="S45" s="5">
        <f>'3314'!$J$37</f>
        <v>4</v>
      </c>
      <c r="T45" s="5"/>
      <c r="U45" s="5">
        <f>'3314'!$N$28</f>
        <v>0.25714285714285712</v>
      </c>
      <c r="V45" s="5">
        <f>'3314'!$N$30</f>
        <v>0.74285714285714288</v>
      </c>
      <c r="W45" s="5"/>
      <c r="X45" s="5">
        <f>'3314'!$S$20</f>
        <v>0</v>
      </c>
      <c r="Y45" s="5">
        <f>'3314'!$T$16</f>
        <v>0</v>
      </c>
      <c r="Z45" s="5">
        <f>'3314'!$S$22</f>
        <v>0.8</v>
      </c>
      <c r="AA45" s="5">
        <f>'3314'!$V$16</f>
        <v>8</v>
      </c>
      <c r="AB45" s="5">
        <f>'3314'!$S$30</f>
        <v>0.49236596391733095</v>
      </c>
      <c r="AC45" s="5">
        <f>'3314'!$U$22</f>
        <v>0.77777777777777779</v>
      </c>
      <c r="AD45" s="5">
        <f>'3314'!$U$24</f>
        <v>1</v>
      </c>
      <c r="AE45" s="5">
        <f>'3314'!$S$27</f>
        <v>1</v>
      </c>
      <c r="AF45" s="5">
        <f>'3314'!$T$27</f>
        <v>1</v>
      </c>
      <c r="AG45" s="5">
        <f>'3314'!$X$16</f>
        <v>4</v>
      </c>
      <c r="AH45" s="5"/>
      <c r="AI45" s="5">
        <f>'3314'!$A$19</f>
        <v>12</v>
      </c>
    </row>
    <row r="46" spans="1:50" x14ac:dyDescent="0.2">
      <c r="A46" s="4">
        <v>3637</v>
      </c>
      <c r="B46" s="5" t="e">
        <f>'3637'!$D$20</f>
        <v>#DIV/0!</v>
      </c>
      <c r="C46" s="5">
        <f>'3637'!$F$20</f>
        <v>1</v>
      </c>
      <c r="D46" s="5">
        <f>'3637'!$D$29</f>
        <v>0</v>
      </c>
      <c r="E46" s="5"/>
      <c r="F46" s="5">
        <f>'3637'!$I$21</f>
        <v>0.82352941176470584</v>
      </c>
      <c r="G46" s="5">
        <f>'3637'!$I$24</f>
        <v>1.1666666666666667</v>
      </c>
      <c r="H46" s="5">
        <f>'3637'!$J$24</f>
        <v>4</v>
      </c>
      <c r="I46" s="5">
        <f>'3637'!$K$24</f>
        <v>1.80067327475704</v>
      </c>
      <c r="J46" s="5"/>
      <c r="K46" s="5">
        <f>'3637'!$I$26</f>
        <v>1</v>
      </c>
      <c r="L46" s="5">
        <f>'3637'!$I$29</f>
        <v>1.5</v>
      </c>
      <c r="M46" s="5">
        <f>'3637'!$J$29</f>
        <v>6</v>
      </c>
      <c r="N46" s="5">
        <f>'3637'!$K$29</f>
        <v>1.9306145983268455</v>
      </c>
      <c r="O46" s="5"/>
      <c r="P46" s="5">
        <f>'3637'!$I$34</f>
        <v>2.6666666666666665</v>
      </c>
      <c r="Q46" s="5">
        <f>'3637'!$J$34</f>
        <v>8</v>
      </c>
      <c r="R46" s="5">
        <f>'3637'!$K$34</f>
        <v>2.6742316936860862</v>
      </c>
      <c r="S46" s="5">
        <f>'3637'!$J$37</f>
        <v>1</v>
      </c>
      <c r="T46" s="5"/>
      <c r="U46" s="5">
        <f>'3637'!$N$28</f>
        <v>0</v>
      </c>
      <c r="V46" s="5">
        <f>'3637'!$N$30</f>
        <v>1</v>
      </c>
      <c r="W46" s="5"/>
      <c r="X46" s="5">
        <f>'3637'!$S$20</f>
        <v>0</v>
      </c>
      <c r="Y46" s="5">
        <f>'3637'!$T$16</f>
        <v>0</v>
      </c>
      <c r="Z46" s="5">
        <f>'3637'!$S$22</f>
        <v>0.7142857142857143</v>
      </c>
      <c r="AA46" s="5">
        <f>'3637'!$V$16</f>
        <v>5</v>
      </c>
      <c r="AB46" s="5">
        <f>'3637'!$S$30</f>
        <v>0.51492865054443726</v>
      </c>
      <c r="AC46" s="5">
        <f>'3637'!$U$22</f>
        <v>0.83333333333333337</v>
      </c>
      <c r="AD46" s="5">
        <f>'3637'!$U$24</f>
        <v>0</v>
      </c>
      <c r="AE46" s="5">
        <f>'3637'!$S$27</f>
        <v>1</v>
      </c>
      <c r="AF46" s="5">
        <f>'3637'!$T$27</f>
        <v>1</v>
      </c>
      <c r="AG46" s="5">
        <f>'3637'!$X$16</f>
        <v>6</v>
      </c>
      <c r="AH46" s="5"/>
      <c r="AI46" s="5">
        <f>'3637'!$A$19</f>
        <v>12</v>
      </c>
    </row>
    <row r="47" spans="1:50" x14ac:dyDescent="0.2">
      <c r="A47" s="4">
        <v>3929</v>
      </c>
      <c r="B47" s="5">
        <f>'3929'!$D$20</f>
        <v>0.4</v>
      </c>
      <c r="C47" s="5">
        <f>'3929'!$F$20</f>
        <v>0.66666666666666663</v>
      </c>
      <c r="D47" s="5">
        <f>'3929'!$D$29</f>
        <v>0.57735026918962584</v>
      </c>
      <c r="E47" s="5"/>
      <c r="F47" s="5">
        <f>'3929'!$I$21</f>
        <v>0.81081081081081086</v>
      </c>
      <c r="G47" s="5">
        <f>'3929'!$I$24</f>
        <v>2.5</v>
      </c>
      <c r="H47" s="5">
        <f>'3929'!$J$24</f>
        <v>5</v>
      </c>
      <c r="I47" s="5">
        <f>'3929'!$K$24</f>
        <v>1.6787441193290353</v>
      </c>
      <c r="J47" s="5"/>
      <c r="K47" s="5">
        <f>'3929'!$I$26</f>
        <v>0.5</v>
      </c>
      <c r="L47" s="5">
        <f>'3929'!$I$29</f>
        <v>0.16666666666666666</v>
      </c>
      <c r="M47" s="5">
        <f>'3929'!$J$29</f>
        <v>1</v>
      </c>
      <c r="N47" s="5">
        <f>'3929'!$K$29</f>
        <v>0.38924947208076149</v>
      </c>
      <c r="O47" s="5"/>
      <c r="P47" s="5">
        <f>'3929'!$I$34</f>
        <v>0.58333333333333337</v>
      </c>
      <c r="Q47" s="5">
        <f>'3929'!$J$34</f>
        <v>4</v>
      </c>
      <c r="R47" s="5">
        <f>'3929'!$K$34</f>
        <v>1.378954368902449</v>
      </c>
      <c r="S47" s="5">
        <f>'3929'!$J$37</f>
        <v>5</v>
      </c>
      <c r="T47" s="5"/>
      <c r="U47" s="5">
        <f>'3929'!$N$28</f>
        <v>0.13235294117647059</v>
      </c>
      <c r="V47" s="5">
        <f>'3929'!$N$30</f>
        <v>0.86764705882352944</v>
      </c>
      <c r="W47" s="5"/>
      <c r="X47" s="5">
        <f>'3929'!$S$20</f>
        <v>0</v>
      </c>
      <c r="Y47" s="5">
        <f>'3929'!$T$16</f>
        <v>0</v>
      </c>
      <c r="Z47" s="5">
        <f>'3929'!$S$22</f>
        <v>0.5714285714285714</v>
      </c>
      <c r="AA47" s="5">
        <f>'3929'!$V$16</f>
        <v>4</v>
      </c>
      <c r="AB47" s="5">
        <f>'3929'!$S$30</f>
        <v>0.49236596391733095</v>
      </c>
      <c r="AC47" s="5">
        <f>'3929'!$U$22</f>
        <v>0.4</v>
      </c>
      <c r="AD47" s="5">
        <f>'3929'!$U$24</f>
        <v>1</v>
      </c>
      <c r="AE47" s="5" t="e">
        <f>'3929'!$S$27</f>
        <v>#DIV/0!</v>
      </c>
      <c r="AF47" s="5">
        <f>'3929'!$T$27</f>
        <v>0</v>
      </c>
      <c r="AG47" s="5">
        <f>'3929'!$X$16</f>
        <v>7</v>
      </c>
      <c r="AH47" s="5"/>
      <c r="AI47" s="5">
        <f>'3929'!$A$19</f>
        <v>12</v>
      </c>
    </row>
    <row r="48" spans="1:50" x14ac:dyDescent="0.2">
      <c r="A48" s="45">
        <v>3974</v>
      </c>
      <c r="B48" s="5" t="e">
        <f>'3974'!$D$20</f>
        <v>#DIV/0!</v>
      </c>
      <c r="C48" s="5">
        <f>'3974'!$F$20</f>
        <v>0.66666666666666663</v>
      </c>
      <c r="D48" s="5">
        <f>'3974'!$D$29</f>
        <v>0.57735026918962584</v>
      </c>
      <c r="E48" s="5"/>
      <c r="F48" s="5">
        <f>'3974'!$I$21</f>
        <v>0.54545454545454541</v>
      </c>
      <c r="G48" s="5">
        <f>'3974'!$I$24</f>
        <v>0.5</v>
      </c>
      <c r="H48" s="5">
        <f>'3974'!$J$24</f>
        <v>3</v>
      </c>
      <c r="I48" s="5">
        <f>'3974'!$K$24</f>
        <v>1</v>
      </c>
      <c r="J48" s="5"/>
      <c r="K48" s="5">
        <f>'3974'!$I$26</f>
        <v>0.7</v>
      </c>
      <c r="L48" s="5">
        <f>'3974'!$I$29</f>
        <v>0.58333333333333337</v>
      </c>
      <c r="M48" s="5">
        <f>'3974'!$J$29</f>
        <v>1</v>
      </c>
      <c r="N48" s="5">
        <f>'3974'!$K$29</f>
        <v>0.51492865054443726</v>
      </c>
      <c r="O48" s="5"/>
      <c r="P48" s="5">
        <f>'3974'!$I$34</f>
        <v>0.91666666666666663</v>
      </c>
      <c r="Q48" s="5">
        <f>'3974'!$J$34</f>
        <v>7</v>
      </c>
      <c r="R48" s="5">
        <f>'3974'!$K$34</f>
        <v>2.1087839379532691</v>
      </c>
      <c r="S48" s="5">
        <f>'3974'!$J$37</f>
        <v>6</v>
      </c>
      <c r="T48" s="5"/>
      <c r="U48" s="5">
        <f>'3974'!$N$28</f>
        <v>0.421875</v>
      </c>
      <c r="V48" s="5">
        <f>'3974'!$N$30</f>
        <v>0.578125</v>
      </c>
      <c r="W48" s="5"/>
      <c r="X48" s="5">
        <f>'3974'!$S$20</f>
        <v>0</v>
      </c>
      <c r="Y48" s="5">
        <f>'3974'!$T$16</f>
        <v>0</v>
      </c>
      <c r="Z48" s="5" t="e">
        <f>'3974'!$S$22</f>
        <v>#DIV/0!</v>
      </c>
      <c r="AA48" s="5">
        <f>'3974'!$V$16</f>
        <v>0</v>
      </c>
      <c r="AB48" s="5">
        <f>'3974'!$S$30</f>
        <v>0</v>
      </c>
      <c r="AC48" s="5" t="e">
        <f>'3974'!$U$22</f>
        <v>#DIV/0!</v>
      </c>
      <c r="AD48" s="5" t="e">
        <f>'3974'!$U$24</f>
        <v>#DIV/0!</v>
      </c>
      <c r="AE48" s="5" t="e">
        <f>'3974'!$S$27</f>
        <v>#DIV/0!</v>
      </c>
      <c r="AF48" s="5">
        <f>'3974'!$T$27</f>
        <v>0</v>
      </c>
      <c r="AG48" s="5">
        <f>'3974'!$X$16</f>
        <v>10</v>
      </c>
      <c r="AH48" s="5"/>
      <c r="AI48" s="5">
        <f>'3974'!$A$19</f>
        <v>12</v>
      </c>
    </row>
    <row r="49" spans="1:35" x14ac:dyDescent="0.2">
      <c r="A49" s="4">
        <v>4342</v>
      </c>
      <c r="B49" s="5" t="e">
        <f>'4342'!$D$20</f>
        <v>#DIV/0!</v>
      </c>
      <c r="C49" s="5">
        <f>'4342'!$F$20</f>
        <v>0.90909090909090906</v>
      </c>
      <c r="D49" s="5">
        <f>'4342'!$D$29</f>
        <v>0.44721359549995793</v>
      </c>
      <c r="E49" s="5"/>
      <c r="F49" s="5">
        <f>'4342'!$I$21</f>
        <v>0.83333333333333337</v>
      </c>
      <c r="G49" s="5">
        <f>'4342'!$I$24</f>
        <v>1.6666666666666667</v>
      </c>
      <c r="H49" s="5">
        <f>'4342'!$J$24</f>
        <v>5</v>
      </c>
      <c r="I49" s="5">
        <f>'4342'!$K$24</f>
        <v>1.5569978883230458</v>
      </c>
      <c r="J49" s="5"/>
      <c r="K49" s="5">
        <f>'4342'!$I$26</f>
        <v>0.8666666666666667</v>
      </c>
      <c r="L49" s="5">
        <f>'4342'!$I$29</f>
        <v>1.0833333333333333</v>
      </c>
      <c r="M49" s="5">
        <f>'4342'!$J$29</f>
        <v>4</v>
      </c>
      <c r="N49" s="5">
        <f>'4342'!$K$29</f>
        <v>1.5642792899510294</v>
      </c>
      <c r="O49" s="5"/>
      <c r="P49" s="5">
        <f>'4342'!$I$34</f>
        <v>1.9166666666666667</v>
      </c>
      <c r="Q49" s="5">
        <f>'4342'!$J$34</f>
        <v>8</v>
      </c>
      <c r="R49" s="5">
        <f>'4342'!$K$34</f>
        <v>3.058767824804721</v>
      </c>
      <c r="S49" s="5">
        <f>'4342'!$J$37</f>
        <v>7</v>
      </c>
      <c r="T49" s="5"/>
      <c r="U49" s="5">
        <f>'4342'!$N$28</f>
        <v>8.9743589743589744E-2</v>
      </c>
      <c r="V49" s="5">
        <f>'4342'!$N$30</f>
        <v>0.91025641025641024</v>
      </c>
      <c r="W49" s="5"/>
      <c r="X49" s="5" t="e">
        <f>'4342'!$S$20</f>
        <v>#DIV/0!</v>
      </c>
      <c r="Y49" s="5">
        <f>'4342'!$T$16</f>
        <v>0</v>
      </c>
      <c r="Z49" s="5">
        <f>'4342'!$S$22</f>
        <v>1</v>
      </c>
      <c r="AA49" s="5">
        <f>'4342'!$V$16</f>
        <v>11</v>
      </c>
      <c r="AB49" s="5">
        <f>'4342'!$S$30</f>
        <v>0.28867513459481275</v>
      </c>
      <c r="AC49" s="5">
        <f>'4342'!$U$22</f>
        <v>1</v>
      </c>
      <c r="AD49" s="5">
        <f>'4342'!$U$24</f>
        <v>1</v>
      </c>
      <c r="AE49" s="5" t="e">
        <f>'4342'!$S$27</f>
        <v>#DIV/0!</v>
      </c>
      <c r="AF49" s="5">
        <f>'4342'!$T$27</f>
        <v>0</v>
      </c>
      <c r="AG49" s="5">
        <f>'4342'!$X$16</f>
        <v>2</v>
      </c>
      <c r="AH49" s="5"/>
      <c r="AI49" s="5">
        <f>'4342'!$A$19</f>
        <v>12</v>
      </c>
    </row>
    <row r="50" spans="1:35" x14ac:dyDescent="0.2">
      <c r="A50" s="4">
        <v>4361</v>
      </c>
      <c r="B50" s="5">
        <f>'4361'!$D$20</f>
        <v>1</v>
      </c>
      <c r="C50" s="5">
        <f>'4361'!$F$20</f>
        <v>1</v>
      </c>
      <c r="D50" s="5">
        <f>'4361'!$D$29</f>
        <v>0</v>
      </c>
      <c r="E50" s="5"/>
      <c r="F50" s="5">
        <f>'4361'!$I$21</f>
        <v>0.82692307692307687</v>
      </c>
      <c r="G50" s="5">
        <f>'4361'!$I$24</f>
        <v>3.5833333333333335</v>
      </c>
      <c r="H50" s="5">
        <f>'4361'!$J$24</f>
        <v>6</v>
      </c>
      <c r="I50" s="5">
        <f>'4361'!$K$24</f>
        <v>1.4433756729740641</v>
      </c>
      <c r="J50" s="5"/>
      <c r="K50" s="5">
        <f>'4361'!$I$26</f>
        <v>1</v>
      </c>
      <c r="L50" s="5">
        <f>'4361'!$I$29</f>
        <v>0.16666666666666666</v>
      </c>
      <c r="M50" s="5">
        <f>'4361'!$J$29</f>
        <v>2</v>
      </c>
      <c r="N50" s="5">
        <f>'4361'!$K$29</f>
        <v>0.57735026918962573</v>
      </c>
      <c r="O50" s="5"/>
      <c r="P50" s="5">
        <f>'4361'!$I$34</f>
        <v>0</v>
      </c>
      <c r="Q50" s="5">
        <f>'4361'!$J$34</f>
        <v>0</v>
      </c>
      <c r="R50" s="5">
        <f>'4361'!$K$34</f>
        <v>0</v>
      </c>
      <c r="S50" s="5">
        <f>'4361'!$J$37</f>
        <v>6</v>
      </c>
      <c r="T50" s="5"/>
      <c r="U50" s="5">
        <f>'4361'!$N$28</f>
        <v>0.23529411764705882</v>
      </c>
      <c r="V50" s="5">
        <f>'4361'!$N$30</f>
        <v>0.76470588235294112</v>
      </c>
      <c r="W50" s="5"/>
      <c r="X50" s="5">
        <f>'4361'!$S$20</f>
        <v>0</v>
      </c>
      <c r="Y50" s="5">
        <f>'4361'!$T$16</f>
        <v>0</v>
      </c>
      <c r="Z50" s="5">
        <f>'4361'!$S$22</f>
        <v>0.5</v>
      </c>
      <c r="AA50" s="5">
        <f>'4361'!$V$16</f>
        <v>1</v>
      </c>
      <c r="AB50" s="5">
        <f>'4361'!$S$30</f>
        <v>0.28867513459481287</v>
      </c>
      <c r="AC50" s="5" t="e">
        <f>'4361'!$U$22</f>
        <v>#DIV/0!</v>
      </c>
      <c r="AD50" s="5">
        <f>'4361'!$U$24</f>
        <v>1</v>
      </c>
      <c r="AE50" s="5" t="e">
        <f>'4361'!$S$27</f>
        <v>#DIV/0!</v>
      </c>
      <c r="AF50" s="5">
        <f>'4361'!$T$27</f>
        <v>0</v>
      </c>
      <c r="AG50" s="5">
        <f>'4361'!$X$16</f>
        <v>10</v>
      </c>
      <c r="AH50" s="5"/>
      <c r="AI50" s="5">
        <f>'4361'!$A$19</f>
        <v>12</v>
      </c>
    </row>
    <row r="51" spans="1:35" x14ac:dyDescent="0.2">
      <c r="A51" s="4">
        <v>4653</v>
      </c>
      <c r="B51" s="5" t="e">
        <f>'4653'!$D$20</f>
        <v>#DIV/0!</v>
      </c>
      <c r="C51" s="5">
        <f>'4653'!$F$20</f>
        <v>0.8571428571428571</v>
      </c>
      <c r="D51" s="5">
        <f>'4653'!$D$29</f>
        <v>0.37796447300922714</v>
      </c>
      <c r="E51" s="5"/>
      <c r="F51" s="5">
        <f>'4653'!$I$21</f>
        <v>1</v>
      </c>
      <c r="G51" s="5">
        <f>'4653'!$I$24</f>
        <v>8.3333333333333329E-2</v>
      </c>
      <c r="H51" s="5">
        <f>'4653'!$J$24</f>
        <v>1</v>
      </c>
      <c r="I51" s="5">
        <f>'4653'!$K$24</f>
        <v>0.28867513459481287</v>
      </c>
      <c r="J51" s="5"/>
      <c r="K51" s="5">
        <f>'4653'!$I$26</f>
        <v>0.8125</v>
      </c>
      <c r="L51" s="5">
        <f>'4653'!$I$29</f>
        <v>1.0833333333333333</v>
      </c>
      <c r="M51" s="5">
        <f>'4653'!$J$29</f>
        <v>3</v>
      </c>
      <c r="N51" s="5">
        <f>'4653'!$K$29</f>
        <v>1.164500152881315</v>
      </c>
      <c r="O51" s="5"/>
      <c r="P51" s="5">
        <f>'4653'!$I$34</f>
        <v>3.9166666666666665</v>
      </c>
      <c r="Q51" s="5">
        <f>'4653'!$J$34</f>
        <v>9</v>
      </c>
      <c r="R51" s="5">
        <f>'4653'!$K$34</f>
        <v>3.8720051965905524</v>
      </c>
      <c r="S51" s="5">
        <f>'4653'!$J$37</f>
        <v>5</v>
      </c>
      <c r="T51" s="5"/>
      <c r="U51" s="5">
        <f>'4653'!$N$28</f>
        <v>0.2073170731707317</v>
      </c>
      <c r="V51" s="5">
        <f>'4653'!$N$30</f>
        <v>0.79268292682926833</v>
      </c>
      <c r="W51" s="5"/>
      <c r="X51" s="5">
        <f>'4653'!$S$20</f>
        <v>0</v>
      </c>
      <c r="Y51" s="5">
        <f>'4653'!$T$16</f>
        <v>0</v>
      </c>
      <c r="Z51" s="5">
        <f>'4653'!$S$22</f>
        <v>0</v>
      </c>
      <c r="AA51" s="5">
        <f>'4653'!$V$16</f>
        <v>0</v>
      </c>
      <c r="AB51" s="5">
        <f>'4653'!$S$30</f>
        <v>0</v>
      </c>
      <c r="AC51" s="5">
        <f>'4653'!$U$22</f>
        <v>0</v>
      </c>
      <c r="AD51" s="5" t="e">
        <f>'4653'!$U$24</f>
        <v>#DIV/0!</v>
      </c>
      <c r="AE51" s="5" t="e">
        <f>'4653'!$S$27</f>
        <v>#DIV/0!</v>
      </c>
      <c r="AF51" s="5">
        <f>'4653'!$T$27</f>
        <v>0</v>
      </c>
      <c r="AG51" s="5">
        <f>'4653'!$X$16</f>
        <v>10</v>
      </c>
      <c r="AH51" s="5"/>
      <c r="AI51" s="5">
        <f>'4653'!$A$19</f>
        <v>12</v>
      </c>
    </row>
    <row r="52" spans="1:35" x14ac:dyDescent="0.2">
      <c r="A52" s="4">
        <v>5401</v>
      </c>
      <c r="B52" s="5" t="e">
        <f>'5401'!$D$20</f>
        <v>#DIV/0!</v>
      </c>
      <c r="C52" s="5">
        <f>'5401'!$F$20</f>
        <v>0.25</v>
      </c>
      <c r="D52" s="5">
        <f>'5401'!$D$29</f>
        <v>0.5</v>
      </c>
      <c r="E52" s="5"/>
      <c r="F52" s="5" t="e">
        <f>'5401'!$I$21</f>
        <v>#DIV/0!</v>
      </c>
      <c r="G52" s="5">
        <f>'5401'!$I$24</f>
        <v>0</v>
      </c>
      <c r="H52" s="5">
        <f>'5401'!$J$24</f>
        <v>0</v>
      </c>
      <c r="I52" s="5">
        <f>'5401'!$K$24</f>
        <v>0</v>
      </c>
      <c r="J52" s="5"/>
      <c r="K52" s="5">
        <f>'5401'!$I$26</f>
        <v>1</v>
      </c>
      <c r="L52" s="5">
        <f>'5401'!$I$29</f>
        <v>0.91666666666666663</v>
      </c>
      <c r="M52" s="5">
        <f>'5401'!$J$29</f>
        <v>3</v>
      </c>
      <c r="N52" s="5">
        <f>'5401'!$K$29</f>
        <v>1.164500152881315</v>
      </c>
      <c r="O52" s="5"/>
      <c r="P52" s="5">
        <f>'5401'!$I$34</f>
        <v>4.583333333333333</v>
      </c>
      <c r="Q52" s="5">
        <f>'5401'!$J$34</f>
        <v>9</v>
      </c>
      <c r="R52" s="5">
        <f>'5401'!$K$34</f>
        <v>3.579190699111471</v>
      </c>
      <c r="S52" s="5">
        <f>'5401'!$J$37</f>
        <v>4</v>
      </c>
      <c r="T52" s="5"/>
      <c r="U52" s="5">
        <f>'5401'!$N$28</f>
        <v>5.5555555555555552E-2</v>
      </c>
      <c r="V52" s="5">
        <f>'5401'!$N$30</f>
        <v>0.94444444444444442</v>
      </c>
      <c r="W52" s="5"/>
      <c r="X52" s="5">
        <f>'5401'!$S$20</f>
        <v>0</v>
      </c>
      <c r="Y52" s="5">
        <f>'5401'!$T$16</f>
        <v>0</v>
      </c>
      <c r="Z52" s="5">
        <f>'5401'!$S$22</f>
        <v>1</v>
      </c>
      <c r="AA52" s="5">
        <f>'5401'!$V$16</f>
        <v>1</v>
      </c>
      <c r="AB52" s="5">
        <f>'5401'!$S$30</f>
        <v>0.28867513459481287</v>
      </c>
      <c r="AC52" s="5" t="e">
        <f>'5401'!$U$22</f>
        <v>#DIV/0!</v>
      </c>
      <c r="AD52" s="5">
        <f>'5401'!$U$24</f>
        <v>1</v>
      </c>
      <c r="AE52" s="5" t="e">
        <f>'5401'!$S$27</f>
        <v>#DIV/0!</v>
      </c>
      <c r="AF52" s="5">
        <f>'5401'!$T$27</f>
        <v>0</v>
      </c>
      <c r="AG52" s="5">
        <f>'5401'!$X$16</f>
        <v>10</v>
      </c>
      <c r="AH52" s="5"/>
      <c r="AI52" s="5">
        <f>'5401'!$A$19</f>
        <v>12</v>
      </c>
    </row>
    <row r="53" spans="1:35" x14ac:dyDescent="0.2">
      <c r="A53" s="4">
        <v>5404</v>
      </c>
      <c r="B53" s="5">
        <f>'5404'!$D$20</f>
        <v>0.5</v>
      </c>
      <c r="C53" s="5">
        <f>'5404'!$F$20</f>
        <v>0.88888888888888884</v>
      </c>
      <c r="D53" s="5">
        <f>'5404'!$D$29</f>
        <v>0.33333333333333343</v>
      </c>
      <c r="E53" s="5"/>
      <c r="F53" s="5">
        <f>'5404'!$I$21</f>
        <v>0.84</v>
      </c>
      <c r="G53" s="5">
        <f>'5404'!$I$24</f>
        <v>1.9090909090909092</v>
      </c>
      <c r="H53" s="5">
        <f>'5404'!$J$24</f>
        <v>4</v>
      </c>
      <c r="I53" s="5">
        <f>'5404'!$K$24</f>
        <v>1.4459976109624424</v>
      </c>
      <c r="J53" s="5"/>
      <c r="K53" s="5">
        <f>'5404'!$I$26</f>
        <v>1</v>
      </c>
      <c r="L53" s="5">
        <f>'5404'!$I$29</f>
        <v>9.0909090909090912E-2</v>
      </c>
      <c r="M53" s="5">
        <f>'5404'!$J$29</f>
        <v>1</v>
      </c>
      <c r="N53" s="5">
        <f>'5404'!$K$29</f>
        <v>0.30151134457776363</v>
      </c>
      <c r="O53" s="5"/>
      <c r="P53" s="5">
        <f>'5404'!$I$34</f>
        <v>0</v>
      </c>
      <c r="Q53" s="5">
        <f>'5404'!$J$34</f>
        <v>0</v>
      </c>
      <c r="R53" s="5">
        <f>'5404'!$K$34</f>
        <v>0</v>
      </c>
      <c r="S53" s="5">
        <f>'5404'!$J$37</f>
        <v>6</v>
      </c>
      <c r="T53" s="5"/>
      <c r="U53" s="5">
        <f>'5404'!$N$28</f>
        <v>0.82758620689655171</v>
      </c>
      <c r="V53" s="5">
        <f>'5404'!$N$30</f>
        <v>0.17241379310344829</v>
      </c>
      <c r="W53" s="5"/>
      <c r="X53" s="5">
        <f>'5404'!$S$20</f>
        <v>0</v>
      </c>
      <c r="Y53" s="5">
        <f>'5404'!$T$16</f>
        <v>0</v>
      </c>
      <c r="Z53" s="5">
        <f>'5404'!$S$22</f>
        <v>0.5</v>
      </c>
      <c r="AA53" s="5">
        <f>'5404'!$V$16</f>
        <v>4</v>
      </c>
      <c r="AB53" s="5">
        <f>'5404'!$S$30</f>
        <v>0.50452497910951299</v>
      </c>
      <c r="AC53" s="5">
        <f>'5404'!$U$22</f>
        <v>0.5</v>
      </c>
      <c r="AD53" s="5" t="e">
        <f>'5404'!$U$24</f>
        <v>#DIV/0!</v>
      </c>
      <c r="AE53" s="5" t="e">
        <f>'5404'!$S$27</f>
        <v>#DIV/0!</v>
      </c>
      <c r="AF53" s="5">
        <f>'5404'!$T$27</f>
        <v>0</v>
      </c>
      <c r="AG53" s="5">
        <f>'5404'!$X$16</f>
        <v>5</v>
      </c>
      <c r="AH53" s="5"/>
      <c r="AI53" s="5">
        <f>'5404'!$A$19</f>
        <v>11</v>
      </c>
    </row>
    <row r="54" spans="1:35" x14ac:dyDescent="0.2">
      <c r="A54" s="4">
        <v>5407</v>
      </c>
      <c r="B54" s="5">
        <f>'5407'!$D$20</f>
        <v>1</v>
      </c>
      <c r="C54" s="5">
        <f>'5407'!$F$20</f>
        <v>0.8571428571428571</v>
      </c>
      <c r="D54" s="5">
        <f>'5407'!$D$29</f>
        <v>0.37796447300922714</v>
      </c>
      <c r="E54" s="5"/>
      <c r="F54" s="5">
        <f>'5407'!$I$21</f>
        <v>0.88571428571428568</v>
      </c>
      <c r="G54" s="5">
        <f>'5407'!$I$24</f>
        <v>2.5833333333333335</v>
      </c>
      <c r="H54" s="5">
        <f>'5407'!$J$24</f>
        <v>6</v>
      </c>
      <c r="I54" s="5">
        <f>'5407'!$K$24</f>
        <v>2.151461800448216</v>
      </c>
      <c r="J54" s="5"/>
      <c r="K54" s="5">
        <f>'5407'!$I$26</f>
        <v>0.8</v>
      </c>
      <c r="L54" s="5">
        <f>'5407'!$I$29</f>
        <v>0.66666666666666663</v>
      </c>
      <c r="M54" s="5">
        <f>'5407'!$J$29</f>
        <v>5</v>
      </c>
      <c r="N54" s="5">
        <f>'5407'!$K$29</f>
        <v>1.4354811251305468</v>
      </c>
      <c r="O54" s="5"/>
      <c r="P54" s="5">
        <f>'5407'!$I$34</f>
        <v>1.3333333333333333</v>
      </c>
      <c r="Q54" s="5">
        <f>'5407'!$J$34</f>
        <v>7</v>
      </c>
      <c r="R54" s="5">
        <f>'5407'!$K$34</f>
        <v>2.5702257889260638</v>
      </c>
      <c r="S54" s="5">
        <f>'5407'!$J$37</f>
        <v>5</v>
      </c>
      <c r="T54" s="5"/>
      <c r="U54" s="5">
        <f>'5407'!$N$28</f>
        <v>0.17948717948717949</v>
      </c>
      <c r="V54" s="5">
        <f>'5407'!$N$30</f>
        <v>0.82051282051282048</v>
      </c>
      <c r="W54" s="5"/>
      <c r="X54" s="5">
        <f>'5407'!$S$20</f>
        <v>0</v>
      </c>
      <c r="Y54" s="5">
        <f>'5407'!$T$16</f>
        <v>0</v>
      </c>
      <c r="Z54" s="5">
        <f>'5407'!$S$22</f>
        <v>1</v>
      </c>
      <c r="AA54" s="5">
        <f>'5407'!$V$16</f>
        <v>9</v>
      </c>
      <c r="AB54" s="5">
        <f>'5407'!$S$30</f>
        <v>0.45226701686664544</v>
      </c>
      <c r="AC54" s="5">
        <f>'5407'!$U$22</f>
        <v>1</v>
      </c>
      <c r="AD54" s="5">
        <f>'5407'!$U$24</f>
        <v>1</v>
      </c>
      <c r="AE54" s="5" t="e">
        <f>'5407'!$S$27</f>
        <v>#DIV/0!</v>
      </c>
      <c r="AF54" s="5">
        <f>'5407'!$T$27</f>
        <v>0</v>
      </c>
      <c r="AG54" s="5">
        <f>'5407'!$X$16</f>
        <v>3</v>
      </c>
      <c r="AH54" s="5"/>
      <c r="AI54" s="5">
        <f>'5407'!$A$19</f>
        <v>12</v>
      </c>
    </row>
    <row r="55" spans="1:35" x14ac:dyDescent="0.2">
      <c r="A55" s="4">
        <v>5420</v>
      </c>
      <c r="B55" s="5" t="e">
        <f>'5420'!$D$20</f>
        <v>#DIV/0!</v>
      </c>
      <c r="C55" s="5">
        <f>'5420'!$F$20</f>
        <v>1</v>
      </c>
      <c r="D55" s="5">
        <f>'5420'!$D$29</f>
        <v>0</v>
      </c>
      <c r="E55" s="5"/>
      <c r="F55" s="5">
        <f>'5420'!$I$21</f>
        <v>0.90909090909090906</v>
      </c>
      <c r="G55" s="5">
        <f>'5420'!$I$24</f>
        <v>2.5</v>
      </c>
      <c r="H55" s="5">
        <f>'5420'!$J$24</f>
        <v>4</v>
      </c>
      <c r="I55" s="5">
        <f>'5420'!$K$24</f>
        <v>1.4459976109624424</v>
      </c>
      <c r="J55" s="5"/>
      <c r="K55" s="5">
        <f>'5420'!$I$26</f>
        <v>1</v>
      </c>
      <c r="L55" s="5">
        <f>'5420'!$I$29</f>
        <v>0.33333333333333331</v>
      </c>
      <c r="M55" s="5">
        <f>'5420'!$J$29</f>
        <v>3</v>
      </c>
      <c r="N55" s="5">
        <f>'5420'!$K$29</f>
        <v>0.88762536459859454</v>
      </c>
      <c r="O55" s="5"/>
      <c r="P55" s="5">
        <f>'5420'!$I$34</f>
        <v>1.1666666666666667</v>
      </c>
      <c r="Q55" s="5">
        <f>'5420'!$J$34</f>
        <v>6</v>
      </c>
      <c r="R55" s="5">
        <f>'5420'!$K$34</f>
        <v>2.3290003057626301</v>
      </c>
      <c r="S55" s="5">
        <f>'5420'!$J$37</f>
        <v>2</v>
      </c>
      <c r="T55" s="5"/>
      <c r="U55" s="5">
        <f>'5420'!$N$28</f>
        <v>0.02</v>
      </c>
      <c r="V55" s="5">
        <f>'5420'!$N$30</f>
        <v>0.98</v>
      </c>
      <c r="W55" s="5"/>
      <c r="X55" s="5">
        <f>'5420'!$S$20</f>
        <v>0</v>
      </c>
      <c r="Y55" s="5">
        <f>'5420'!$T$16</f>
        <v>0</v>
      </c>
      <c r="Z55" s="5">
        <f>'5420'!$S$22</f>
        <v>0.6</v>
      </c>
      <c r="AA55" s="5">
        <f>'5420'!$V$16</f>
        <v>6</v>
      </c>
      <c r="AB55" s="5">
        <f>'5420'!$S$30</f>
        <v>0.5222329678670935</v>
      </c>
      <c r="AC55" s="5">
        <f>'5420'!$U$22</f>
        <v>0.66666666666666663</v>
      </c>
      <c r="AD55" s="5">
        <f>'5420'!$U$24</f>
        <v>0</v>
      </c>
      <c r="AE55" s="5" t="e">
        <f>'5420'!$S$27</f>
        <v>#DIV/0!</v>
      </c>
      <c r="AF55" s="5">
        <f>'5420'!$T$27</f>
        <v>0</v>
      </c>
      <c r="AG55" s="5">
        <f>'5420'!$X$16</f>
        <v>6</v>
      </c>
      <c r="AH55" s="5"/>
      <c r="AI55" s="5">
        <f>'5420'!$A$19</f>
        <v>12</v>
      </c>
    </row>
    <row r="56" spans="1:35" x14ac:dyDescent="0.2">
      <c r="A56" s="4">
        <v>5895</v>
      </c>
      <c r="B56" s="5">
        <f>'5895'!$D$20</f>
        <v>0.4</v>
      </c>
      <c r="C56" s="5">
        <f>'5895'!$F$20</f>
        <v>1</v>
      </c>
      <c r="D56" s="5">
        <f>'5895'!$D$29</f>
        <v>0.5</v>
      </c>
      <c r="E56" s="5"/>
      <c r="F56" s="5">
        <f>'5895'!$I$21</f>
        <v>0.90243902439024393</v>
      </c>
      <c r="G56" s="5">
        <f>'5895'!$I$24</f>
        <v>3.0833333333333335</v>
      </c>
      <c r="H56" s="5">
        <f>'5895'!$J$24</f>
        <v>6</v>
      </c>
      <c r="I56" s="5">
        <f>'5895'!$K$24</f>
        <v>1.1645001528813153</v>
      </c>
      <c r="J56" s="5"/>
      <c r="K56" s="5">
        <f>'5895'!$I$26</f>
        <v>1</v>
      </c>
      <c r="L56" s="5">
        <f>'5895'!$I$29</f>
        <v>1.0833333333333333</v>
      </c>
      <c r="M56" s="5">
        <f>'5895'!$J$29</f>
        <v>3</v>
      </c>
      <c r="N56" s="5">
        <f>'5895'!$K$29</f>
        <v>1.164500152881315</v>
      </c>
      <c r="O56" s="5"/>
      <c r="P56" s="5">
        <f>'5895'!$I$34</f>
        <v>1.3333333333333333</v>
      </c>
      <c r="Q56" s="5">
        <f>'5895'!$J$34</f>
        <v>6</v>
      </c>
      <c r="R56" s="5">
        <f>'5895'!$K$34</f>
        <v>2.2696949467968492</v>
      </c>
      <c r="S56" s="5">
        <f>'5895'!$J$37</f>
        <v>7</v>
      </c>
      <c r="T56" s="5"/>
      <c r="U56" s="5">
        <f>'5895'!$N$28</f>
        <v>0.16853932584269662</v>
      </c>
      <c r="V56" s="5">
        <f>'5895'!$N$30</f>
        <v>0.8314606741573034</v>
      </c>
      <c r="W56" s="5"/>
      <c r="X56" s="5">
        <f>'5895'!$S$20</f>
        <v>0</v>
      </c>
      <c r="Y56" s="5">
        <f>'5895'!$T$16</f>
        <v>0</v>
      </c>
      <c r="Z56" s="5">
        <f>'5895'!$S$22</f>
        <v>0.55555555555555558</v>
      </c>
      <c r="AA56" s="5">
        <f>'5895'!$V$16</f>
        <v>5</v>
      </c>
      <c r="AB56" s="5">
        <f>'5895'!$S$30</f>
        <v>0.51492865054443726</v>
      </c>
      <c r="AC56" s="5">
        <f>'5895'!$U$22</f>
        <v>0.55555555555555558</v>
      </c>
      <c r="AD56" s="5" t="e">
        <f>'5895'!$U$24</f>
        <v>#DIV/0!</v>
      </c>
      <c r="AE56" s="5" t="e">
        <f>'5895'!$S$27</f>
        <v>#DIV/0!</v>
      </c>
      <c r="AF56" s="5">
        <f>'5895'!$T$27</f>
        <v>0</v>
      </c>
      <c r="AG56" s="5">
        <f>'5895'!$X$16</f>
        <v>7</v>
      </c>
      <c r="AH56" s="5"/>
      <c r="AI56" s="5">
        <f>'5895'!$A$19</f>
        <v>12</v>
      </c>
    </row>
    <row r="57" spans="1:35" x14ac:dyDescent="0.2">
      <c r="A57" s="4">
        <v>5992</v>
      </c>
      <c r="B57" s="5">
        <f>'5992'!$D$20</f>
        <v>0.25</v>
      </c>
      <c r="C57" s="5">
        <f>'5992'!$F$20</f>
        <v>0.5</v>
      </c>
      <c r="D57" s="5">
        <f>'5992'!$D$29</f>
        <v>0.57735026918962573</v>
      </c>
      <c r="E57" s="5"/>
      <c r="F57" s="5">
        <f>'5992'!$I$21</f>
        <v>0.66666666666666663</v>
      </c>
      <c r="G57" s="5">
        <f>'5992'!$I$24</f>
        <v>0.5</v>
      </c>
      <c r="H57" s="5">
        <f>'5992'!$J$24</f>
        <v>4</v>
      </c>
      <c r="I57" s="5">
        <f>'5992'!$K$24</f>
        <v>1.1677484162422844</v>
      </c>
      <c r="J57" s="5"/>
      <c r="K57" s="5">
        <f>'5992'!$I$26</f>
        <v>0.83333333333333337</v>
      </c>
      <c r="L57" s="5">
        <f>'5992'!$I$29</f>
        <v>1.25</v>
      </c>
      <c r="M57" s="5">
        <f>'5992'!$J$29</f>
        <v>5</v>
      </c>
      <c r="N57" s="5">
        <f>'5992'!$K$29</f>
        <v>1.712255291076124</v>
      </c>
      <c r="O57" s="5"/>
      <c r="P57" s="5">
        <f>'5992'!$I$34</f>
        <v>2.5833333333333335</v>
      </c>
      <c r="Q57" s="5">
        <f>'5992'!$J$34</f>
        <v>6</v>
      </c>
      <c r="R57" s="5">
        <f>'5992'!$K$34</f>
        <v>2.3143164446679729</v>
      </c>
      <c r="S57" s="5">
        <f>'5992'!$J$37</f>
        <v>0</v>
      </c>
      <c r="T57" s="5"/>
      <c r="U57" s="5">
        <f>'5992'!$N$28</f>
        <v>0</v>
      </c>
      <c r="V57" s="5">
        <f>'5992'!$N$30</f>
        <v>1</v>
      </c>
      <c r="W57" s="5"/>
      <c r="X57" s="5">
        <f>'5992'!$S$20</f>
        <v>0</v>
      </c>
      <c r="Y57" s="5">
        <f>'5992'!$T$16</f>
        <v>0</v>
      </c>
      <c r="Z57" s="5">
        <f>'5992'!$S$22</f>
        <v>0.6</v>
      </c>
      <c r="AA57" s="5">
        <f>'5992'!$V$16</f>
        <v>3</v>
      </c>
      <c r="AB57" s="5">
        <f>'5992'!$S$30</f>
        <v>0.45226701686664544</v>
      </c>
      <c r="AC57" s="5">
        <f>'5992'!$U$22</f>
        <v>0.6</v>
      </c>
      <c r="AD57" s="5" t="e">
        <f>'5992'!$U$24</f>
        <v>#DIV/0!</v>
      </c>
      <c r="AE57" s="5" t="e">
        <f>'5992'!$S$27</f>
        <v>#DIV/0!</v>
      </c>
      <c r="AF57" s="5">
        <f>'5992'!$T$27</f>
        <v>0</v>
      </c>
      <c r="AG57" s="5">
        <f>'5992'!$X$16</f>
        <v>8</v>
      </c>
      <c r="AH57" s="5"/>
      <c r="AI57" s="5">
        <f>'5992'!$A$19</f>
        <v>12</v>
      </c>
    </row>
    <row r="58" spans="1:35" x14ac:dyDescent="0.2">
      <c r="A58" s="4">
        <v>6203</v>
      </c>
      <c r="B58" s="5">
        <f>'6203'!$D$20</f>
        <v>0</v>
      </c>
      <c r="C58" s="5">
        <f>'6203'!$F$20</f>
        <v>0.66666666666666663</v>
      </c>
      <c r="D58" s="5">
        <f>'6203'!$D$29</f>
        <v>0.57735026918962584</v>
      </c>
      <c r="E58" s="5"/>
      <c r="F58" s="5">
        <f>'6203'!$I$21</f>
        <v>0.7142857142857143</v>
      </c>
      <c r="G58" s="5">
        <f>'6203'!$I$24</f>
        <v>0.45454545454545453</v>
      </c>
      <c r="H58" s="5">
        <f>'6203'!$J$24</f>
        <v>2</v>
      </c>
      <c r="I58" s="5">
        <f>'6203'!$K$24</f>
        <v>0.82019953226472431</v>
      </c>
      <c r="J58" s="5"/>
      <c r="K58" s="5">
        <f>'6203'!$I$26</f>
        <v>1</v>
      </c>
      <c r="L58" s="5">
        <f>'6203'!$I$29</f>
        <v>0.27272727272727271</v>
      </c>
      <c r="M58" s="5">
        <f>'6203'!$J$29</f>
        <v>3</v>
      </c>
      <c r="N58" s="5">
        <f>'6203'!$K$29</f>
        <v>0.90453403373329089</v>
      </c>
      <c r="O58" s="5"/>
      <c r="P58" s="5">
        <f>'6203'!$I$34</f>
        <v>3.1818181818181817</v>
      </c>
      <c r="Q58" s="5">
        <f>'6203'!$J$34</f>
        <v>9</v>
      </c>
      <c r="R58" s="5">
        <f>'6203'!$K$34</f>
        <v>3.9450774851245143</v>
      </c>
      <c r="S58" s="5">
        <f>'6203'!$J$37</f>
        <v>3</v>
      </c>
      <c r="T58" s="5"/>
      <c r="U58" s="5">
        <f>'6203'!$N$28</f>
        <v>1.9607843137254902E-2</v>
      </c>
      <c r="V58" s="5">
        <f>'6203'!$N$30</f>
        <v>0.98039215686274506</v>
      </c>
      <c r="W58" s="5"/>
      <c r="X58" s="5">
        <f>'6203'!$S$20</f>
        <v>0</v>
      </c>
      <c r="Y58" s="5">
        <f>'6203'!$T$16</f>
        <v>0</v>
      </c>
      <c r="Z58" s="5">
        <f>'6203'!$S$22</f>
        <v>0.66666666666666663</v>
      </c>
      <c r="AA58" s="5">
        <f>'6203'!$V$16</f>
        <v>2</v>
      </c>
      <c r="AB58" s="5">
        <f>'6203'!$S$30</f>
        <v>0.40451991747794525</v>
      </c>
      <c r="AC58" s="5">
        <f>'6203'!$U$22</f>
        <v>0.66666666666666663</v>
      </c>
      <c r="AD58" s="5" t="e">
        <f>'6203'!$U$24</f>
        <v>#DIV/0!</v>
      </c>
      <c r="AE58" s="5" t="e">
        <f>'6203'!$S$27</f>
        <v>#DIV/0!</v>
      </c>
      <c r="AF58" s="5">
        <f>'6203'!$T$27</f>
        <v>0</v>
      </c>
      <c r="AG58" s="5">
        <f>'6203'!$X$16</f>
        <v>9</v>
      </c>
      <c r="AH58" s="5"/>
      <c r="AI58" s="5">
        <f>'6203'!$A$19</f>
        <v>11</v>
      </c>
    </row>
    <row r="59" spans="1:35" x14ac:dyDescent="0.2">
      <c r="A59" s="4">
        <v>6860</v>
      </c>
      <c r="B59" s="5">
        <f>'6860'!$D$20</f>
        <v>0</v>
      </c>
      <c r="C59" s="5">
        <f>'6860'!$F$20</f>
        <v>0.5</v>
      </c>
      <c r="D59" s="5">
        <f>'6860'!$D$29</f>
        <v>0.54772255750516607</v>
      </c>
      <c r="E59" s="5"/>
      <c r="F59" s="5" t="e">
        <f>'6860'!$I$21</f>
        <v>#DIV/0!</v>
      </c>
      <c r="G59" s="5">
        <f>'6860'!$I$24</f>
        <v>0</v>
      </c>
      <c r="H59" s="5">
        <f>'6860'!$J$24</f>
        <v>0</v>
      </c>
      <c r="I59" s="5">
        <f>'6860'!$K$24</f>
        <v>0</v>
      </c>
      <c r="J59" s="5"/>
      <c r="K59" s="5">
        <f>'6860'!$I$26</f>
        <v>1</v>
      </c>
      <c r="L59" s="5">
        <f>'6860'!$I$29</f>
        <v>0.18181818181818182</v>
      </c>
      <c r="M59" s="5">
        <f>'6860'!$J$29</f>
        <v>1</v>
      </c>
      <c r="N59" s="5">
        <f>'6860'!$K$29</f>
        <v>0.40451991747794525</v>
      </c>
      <c r="O59" s="5"/>
      <c r="P59" s="5">
        <f>'6860'!$I$34</f>
        <v>0</v>
      </c>
      <c r="Q59" s="5">
        <f>'6860'!$J$34</f>
        <v>0</v>
      </c>
      <c r="R59" s="5">
        <f>'6860'!$K$34</f>
        <v>0</v>
      </c>
      <c r="S59" s="5">
        <f>'6860'!$J$37</f>
        <v>5</v>
      </c>
      <c r="T59" s="5"/>
      <c r="U59" s="5">
        <f>'6860'!$N$28</f>
        <v>1</v>
      </c>
      <c r="V59" s="5">
        <f>'6860'!$N$30</f>
        <v>0</v>
      </c>
      <c r="W59" s="5"/>
      <c r="X59" s="5">
        <f>'6860'!$S$20</f>
        <v>0</v>
      </c>
      <c r="Y59" s="5">
        <f>'6860'!$T$16</f>
        <v>0</v>
      </c>
      <c r="Z59" s="5">
        <f>'6860'!$S$22</f>
        <v>0.33333333333333331</v>
      </c>
      <c r="AA59" s="5">
        <f>'6860'!$V$16</f>
        <v>1</v>
      </c>
      <c r="AB59" s="5">
        <f>'6860'!$S$30</f>
        <v>0.30151134457776363</v>
      </c>
      <c r="AC59" s="5">
        <f>'6860'!$U$22</f>
        <v>0</v>
      </c>
      <c r="AD59" s="5">
        <f>'6860'!$U$24</f>
        <v>0.5</v>
      </c>
      <c r="AE59" s="5" t="e">
        <f>'6860'!$S$27</f>
        <v>#DIV/0!</v>
      </c>
      <c r="AF59" s="5">
        <f>'6860'!$T$27</f>
        <v>0</v>
      </c>
      <c r="AG59" s="5">
        <f>'6860'!$X$16</f>
        <v>10</v>
      </c>
      <c r="AH59" s="5"/>
      <c r="AI59" s="5">
        <f>'6860'!$A$19</f>
        <v>11</v>
      </c>
    </row>
    <row r="60" spans="1:35" x14ac:dyDescent="0.2">
      <c r="A60" s="4">
        <v>6945</v>
      </c>
      <c r="B60" s="5" t="e">
        <f>'6945'!$D$20</f>
        <v>#DIV/0!</v>
      </c>
      <c r="C60" s="5">
        <f>'6945'!$F$20</f>
        <v>1</v>
      </c>
      <c r="D60" s="5">
        <f>'6945'!$D$29</f>
        <v>0</v>
      </c>
      <c r="E60" s="5"/>
      <c r="F60" s="5">
        <f>'6945'!$I$21</f>
        <v>0</v>
      </c>
      <c r="G60" s="5">
        <f>'6945'!$I$24</f>
        <v>0</v>
      </c>
      <c r="H60" s="5">
        <f>'6945'!$J$24</f>
        <v>0</v>
      </c>
      <c r="I60" s="5">
        <f>'6945'!$K$24</f>
        <v>0</v>
      </c>
      <c r="J60" s="5"/>
      <c r="K60" s="5">
        <f>'6945'!$I$26</f>
        <v>1</v>
      </c>
      <c r="L60" s="5">
        <f>'6945'!$I$29</f>
        <v>1.4166666666666667</v>
      </c>
      <c r="M60" s="5">
        <f>'6945'!$J$29</f>
        <v>4</v>
      </c>
      <c r="N60" s="5">
        <f>'6945'!$K$29</f>
        <v>1.378954368902449</v>
      </c>
      <c r="O60" s="5"/>
      <c r="P60" s="5">
        <f>'6945'!$I$34</f>
        <v>6</v>
      </c>
      <c r="Q60" s="5">
        <f>'6945'!$J$34</f>
        <v>9</v>
      </c>
      <c r="R60" s="5">
        <f>'6945'!$K$34</f>
        <v>3.0451153135353137</v>
      </c>
      <c r="S60" s="5">
        <f>'6945'!$J$37</f>
        <v>6</v>
      </c>
      <c r="T60" s="5"/>
      <c r="U60" s="5">
        <f>'6945'!$N$28</f>
        <v>0.04</v>
      </c>
      <c r="V60" s="5">
        <f>'6945'!$N$30</f>
        <v>0.96</v>
      </c>
      <c r="W60" s="5"/>
      <c r="X60" s="5">
        <f>'6945'!$S$20</f>
        <v>0</v>
      </c>
      <c r="Y60" s="5">
        <f>'6945'!$T$16</f>
        <v>0</v>
      </c>
      <c r="Z60" s="5">
        <f>'6945'!$S$22</f>
        <v>0</v>
      </c>
      <c r="AA60" s="5">
        <f>'6945'!$V$16</f>
        <v>0</v>
      </c>
      <c r="AB60" s="5">
        <f>'6945'!$S$30</f>
        <v>0</v>
      </c>
      <c r="AC60" s="5" t="e">
        <f>'6945'!$U$22</f>
        <v>#DIV/0!</v>
      </c>
      <c r="AD60" s="5">
        <f>'6945'!$U$24</f>
        <v>0</v>
      </c>
      <c r="AE60" s="5" t="e">
        <f>'6945'!$S$27</f>
        <v>#DIV/0!</v>
      </c>
      <c r="AF60" s="5">
        <f>'6945'!$T$27</f>
        <v>0</v>
      </c>
      <c r="AG60" s="5">
        <f>'6945'!$X$16</f>
        <v>12</v>
      </c>
      <c r="AH60" s="5"/>
      <c r="AI60" s="5">
        <f>'6945'!$A$19</f>
        <v>12</v>
      </c>
    </row>
    <row r="61" spans="1:35" x14ac:dyDescent="0.2">
      <c r="A61" s="46">
        <v>1168</v>
      </c>
      <c r="B61" s="5" t="e">
        <f>'1168'!$D$20</f>
        <v>#DIV/0!</v>
      </c>
      <c r="C61" s="5">
        <f>'1168'!$F$20</f>
        <v>0.75</v>
      </c>
      <c r="D61" s="5">
        <f>'1168'!$D$29</f>
        <v>0.5</v>
      </c>
      <c r="E61" s="5"/>
      <c r="F61" s="5" t="e">
        <f>'1168'!$I$21</f>
        <v>#DIV/0!</v>
      </c>
      <c r="G61" s="5">
        <f>'1168'!$I$24</f>
        <v>0</v>
      </c>
      <c r="H61" s="5">
        <f>'1168'!$J$24</f>
        <v>0</v>
      </c>
      <c r="I61" s="5">
        <f>'1168'!$K$24</f>
        <v>0</v>
      </c>
      <c r="J61" s="5"/>
      <c r="K61" s="5">
        <f>'1168'!$I$26</f>
        <v>0.92307692307692313</v>
      </c>
      <c r="L61" s="5">
        <f>'1168'!$I$29</f>
        <v>1</v>
      </c>
      <c r="M61" s="5">
        <f>'1168'!$J$29</f>
        <v>4</v>
      </c>
      <c r="N61" s="5">
        <f>'1168'!$K$29</f>
        <v>1.3483997249264841</v>
      </c>
      <c r="O61" s="5"/>
      <c r="P61" s="5">
        <f>'1168'!$I$34</f>
        <v>4.75</v>
      </c>
      <c r="Q61" s="5">
        <f>'1168'!$J$34</f>
        <v>10</v>
      </c>
      <c r="R61" s="5">
        <f>'1168'!$K$34</f>
        <v>2.9580398915498081</v>
      </c>
      <c r="S61" s="5">
        <f>'1168'!$J$37</f>
        <v>3</v>
      </c>
      <c r="T61" s="5"/>
      <c r="U61" s="5">
        <f>'1168'!$N$28</f>
        <v>0</v>
      </c>
      <c r="V61" s="5">
        <f>'1168'!$N$30</f>
        <v>1</v>
      </c>
      <c r="W61" s="5"/>
      <c r="X61" s="5">
        <f>'1168'!$S$20</f>
        <v>0</v>
      </c>
      <c r="Y61" s="5">
        <f>'1168'!$T$16</f>
        <v>0</v>
      </c>
      <c r="Z61" s="5">
        <f>'1168'!$S$22</f>
        <v>1</v>
      </c>
      <c r="AA61" s="5">
        <f>'1168'!$V$16</f>
        <v>1</v>
      </c>
      <c r="AB61" s="5">
        <f>'1168'!$S$30</f>
        <v>0.28867513459481287</v>
      </c>
      <c r="AC61" s="5" t="e">
        <f>'1168'!$U$22</f>
        <v>#DIV/0!</v>
      </c>
      <c r="AD61" s="5">
        <f>'1168'!$U$24</f>
        <v>1</v>
      </c>
      <c r="AE61" s="5" t="e">
        <f>'1168'!$S$27</f>
        <v>#DIV/0!</v>
      </c>
      <c r="AF61" s="5">
        <f>'1168'!$T$27</f>
        <v>0</v>
      </c>
      <c r="AG61" s="5">
        <f>'1168'!$X$16</f>
        <v>9</v>
      </c>
      <c r="AH61" s="5"/>
      <c r="AI61" s="5">
        <f>'1168'!$A$19</f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X90"/>
  <sheetViews>
    <sheetView workbookViewId="0">
      <pane xSplit="1" topLeftCell="D1" activePane="topRight" state="frozen"/>
      <selection pane="topRight" activeCell="I4" sqref="I4"/>
    </sheetView>
  </sheetViews>
  <sheetFormatPr baseColWidth="10" defaultColWidth="11.5" defaultRowHeight="15" x14ac:dyDescent="0.2"/>
  <cols>
    <col min="2" max="2" width="15.5" customWidth="1"/>
    <col min="3" max="3" width="17.83203125" customWidth="1"/>
    <col min="4" max="4" width="16.33203125" customWidth="1"/>
    <col min="5" max="5" width="13" style="43" customWidth="1"/>
    <col min="6" max="6" width="13.6640625" style="43" customWidth="1"/>
    <col min="7" max="7" width="12.6640625" style="43" customWidth="1"/>
    <col min="11" max="11" width="13.83203125" customWidth="1"/>
    <col min="12" max="12" width="14.1640625" customWidth="1"/>
    <col min="13" max="13" width="12.6640625" customWidth="1"/>
    <col min="14" max="14" width="11.5" style="43"/>
    <col min="15" max="15" width="13.33203125" style="43" customWidth="1"/>
    <col min="16" max="16" width="11.5" style="43"/>
    <col min="17" max="17" width="16.5" style="43" customWidth="1"/>
    <col min="18" max="18" width="12.6640625" customWidth="1"/>
    <col min="19" max="19" width="13.6640625" style="43" customWidth="1"/>
    <col min="20" max="20" width="15.33203125" style="43" customWidth="1"/>
    <col min="21" max="21" width="13.5" style="43" customWidth="1"/>
    <col min="22" max="22" width="20.5" style="43" customWidth="1"/>
    <col min="23" max="23" width="18.5" customWidth="1"/>
    <col min="24" max="24" width="18.1640625" style="43" customWidth="1"/>
    <col min="25" max="25" width="17.5" style="43" customWidth="1"/>
    <col min="26" max="26" width="22.6640625" style="43" customWidth="1"/>
    <col min="27" max="27" width="14.5" style="43" customWidth="1"/>
    <col min="28" max="28" width="11.33203125" customWidth="1"/>
    <col min="30" max="30" width="19.1640625" customWidth="1"/>
    <col min="31" max="31" width="17.1640625" customWidth="1"/>
    <col min="32" max="32" width="22.1640625" customWidth="1"/>
    <col min="35" max="35" width="25.1640625" customWidth="1"/>
    <col min="37" max="37" width="25.1640625" customWidth="1"/>
  </cols>
  <sheetData>
    <row r="1" spans="1:50" x14ac:dyDescent="0.2">
      <c r="A1" s="8" t="s">
        <v>18</v>
      </c>
      <c r="B1" s="8" t="s">
        <v>79</v>
      </c>
      <c r="C1" s="8" t="s">
        <v>162</v>
      </c>
      <c r="D1" s="8" t="s">
        <v>182</v>
      </c>
      <c r="E1" s="49" t="s">
        <v>80</v>
      </c>
      <c r="F1" s="49" t="s">
        <v>163</v>
      </c>
      <c r="G1" s="49" t="s">
        <v>181</v>
      </c>
      <c r="H1" s="49"/>
      <c r="I1" s="8" t="s">
        <v>81</v>
      </c>
      <c r="J1" s="8" t="s">
        <v>82</v>
      </c>
      <c r="K1" s="8" t="s">
        <v>83</v>
      </c>
      <c r="L1" s="8" t="s">
        <v>84</v>
      </c>
      <c r="M1" s="8"/>
      <c r="N1" s="49" t="s">
        <v>85</v>
      </c>
      <c r="O1" s="49" t="s">
        <v>86</v>
      </c>
      <c r="P1" s="49" t="s">
        <v>87</v>
      </c>
      <c r="Q1" s="49" t="s">
        <v>88</v>
      </c>
      <c r="R1" s="8"/>
      <c r="S1" s="49" t="s">
        <v>170</v>
      </c>
      <c r="T1" s="49" t="s">
        <v>89</v>
      </c>
      <c r="U1" s="49" t="s">
        <v>90</v>
      </c>
      <c r="V1" s="49" t="s">
        <v>91</v>
      </c>
      <c r="W1" s="8"/>
      <c r="X1" s="49" t="s">
        <v>171</v>
      </c>
      <c r="Y1" s="49" t="s">
        <v>172</v>
      </c>
      <c r="Z1" s="49" t="s">
        <v>173</v>
      </c>
      <c r="AA1" s="49" t="s">
        <v>174</v>
      </c>
      <c r="AB1" s="8"/>
      <c r="AC1" s="8" t="s">
        <v>53</v>
      </c>
      <c r="AD1" s="8" t="s">
        <v>56</v>
      </c>
      <c r="AE1" s="8"/>
      <c r="AF1" s="8" t="s">
        <v>92</v>
      </c>
      <c r="AG1" s="8" t="s">
        <v>93</v>
      </c>
      <c r="AH1" s="8" t="s">
        <v>94</v>
      </c>
      <c r="AI1" s="8" t="s">
        <v>46</v>
      </c>
      <c r="AJ1" s="8"/>
      <c r="AK1" s="8" t="s">
        <v>160</v>
      </c>
      <c r="AN1" s="1" t="s">
        <v>213</v>
      </c>
      <c r="AO1" s="1" t="s">
        <v>214</v>
      </c>
      <c r="AP1" s="1"/>
      <c r="AR1" s="1"/>
      <c r="AT1" s="1"/>
      <c r="AU1" s="1"/>
      <c r="AV1" s="1"/>
      <c r="AX1" s="1"/>
    </row>
    <row r="2" spans="1:50" x14ac:dyDescent="0.2">
      <c r="A2" s="4">
        <v>11</v>
      </c>
      <c r="B2" s="5">
        <f>IFERROR('11'!$D$20, 0)</f>
        <v>0</v>
      </c>
      <c r="C2" s="5">
        <f>IFERROR('11'!$D$26, 0)</f>
        <v>0</v>
      </c>
      <c r="D2" s="5">
        <f>IFERROR('11'!$D$32, 0)</f>
        <v>0</v>
      </c>
      <c r="E2" s="48">
        <f>IFERROR('11'!$F$20, 0)</f>
        <v>0</v>
      </c>
      <c r="F2" s="48">
        <f>IFERROR('11'!$F$26, 0)</f>
        <v>0</v>
      </c>
      <c r="G2" s="48">
        <f>IFERROR('11'!$F$32, 0)</f>
        <v>0</v>
      </c>
      <c r="H2" s="5"/>
      <c r="I2" s="5">
        <f>IFERROR('11'!$I$21, 0)</f>
        <v>1</v>
      </c>
      <c r="J2" s="5">
        <f>IFERROR('11'!$I$24, 0)</f>
        <v>8.3333333333333329E-2</v>
      </c>
      <c r="K2" s="5">
        <f>IFERROR('11'!$J$24, 0)</f>
        <v>1</v>
      </c>
      <c r="L2" s="5">
        <f>IFERROR('11'!$K$24, 0)</f>
        <v>0.28867513459481287</v>
      </c>
      <c r="M2" s="5"/>
      <c r="N2" s="48">
        <f>IFERROR('11'!$I$26, 0)</f>
        <v>0.92592592592592593</v>
      </c>
      <c r="O2" s="48">
        <f>IFERROR('11'!$I$29, 0)</f>
        <v>2.0833333333333335</v>
      </c>
      <c r="P2" s="48">
        <f>IFERROR('11'!$J$29, 0)</f>
        <v>6</v>
      </c>
      <c r="Q2" s="48">
        <f>IFERROR('11'!$K$29, 0)</f>
        <v>1.9286515936521478</v>
      </c>
      <c r="R2" s="5"/>
      <c r="S2" s="48">
        <f>IFERROR('11'!I31, 0)</f>
        <v>0.96721311475409832</v>
      </c>
      <c r="T2" s="48">
        <f>IFERROR('11'!$I$34, 0)</f>
        <v>4.916666666666667</v>
      </c>
      <c r="U2" s="48">
        <f>IFERROR('11'!$J$34, 0)</f>
        <v>9</v>
      </c>
      <c r="V2" s="48">
        <f>IFERROR('11'!$K$34, 0)</f>
        <v>4.0330077504452575</v>
      </c>
      <c r="W2" s="5"/>
      <c r="X2" s="48">
        <f>IFERROR('11'!L31, 0)</f>
        <v>0.88235294117647056</v>
      </c>
      <c r="Y2" s="48">
        <f>IFERROR('11'!L34, 0)</f>
        <v>3.75</v>
      </c>
      <c r="Z2" s="48">
        <f>IFERROR('11'!M34, 0)</f>
        <v>9</v>
      </c>
      <c r="AA2" s="48">
        <f>IFERROR('11'!N34, 0)</f>
        <v>4.5</v>
      </c>
      <c r="AB2" s="5"/>
      <c r="AC2" s="5">
        <f>IFERROR('11'!$N$28, 0)</f>
        <v>0.12962962962962962</v>
      </c>
      <c r="AD2" s="5">
        <f>IFERROR('11'!$N$30, 0)</f>
        <v>0.87037037037037035</v>
      </c>
      <c r="AE2" s="5"/>
      <c r="AF2" s="5">
        <f>IFERROR('11'!$S$22, 0)</f>
        <v>1</v>
      </c>
      <c r="AG2" s="5">
        <f>IFERROR('11'!$U$22, 0)</f>
        <v>0</v>
      </c>
      <c r="AH2" s="5">
        <f>IFERROR('11'!$U$24, 0)</f>
        <v>1</v>
      </c>
      <c r="AI2" s="5">
        <f>IFERROR('11'!$S$24, 0)</f>
        <v>8.3333333333333329E-2</v>
      </c>
      <c r="AJ2" s="5"/>
      <c r="AK2" s="5">
        <f>IFERROR('11'!$G$68, 0)</f>
        <v>7.083333333333333</v>
      </c>
      <c r="AN2" s="43">
        <v>222</v>
      </c>
      <c r="AO2" s="43">
        <v>747</v>
      </c>
      <c r="AP2" s="43"/>
    </row>
    <row r="3" spans="1:50" x14ac:dyDescent="0.2">
      <c r="A3" s="4">
        <v>25</v>
      </c>
      <c r="B3" s="5">
        <f>IFERROR('25'!$D$20, 0)</f>
        <v>0.44444444444444442</v>
      </c>
      <c r="C3" s="5">
        <f>IFERROR('25'!$D$26, 0)</f>
        <v>0.33333333333333331</v>
      </c>
      <c r="D3" s="5">
        <f>IFERROR('25'!$D$32, 0)</f>
        <v>0</v>
      </c>
      <c r="E3" s="48">
        <f>IFERROR('25'!$F$20, 0)</f>
        <v>1</v>
      </c>
      <c r="F3" s="48">
        <f>IFERROR('25'!$F$26, 0)</f>
        <v>0.25</v>
      </c>
      <c r="G3" s="48">
        <f>IFERROR('25'!$F$32, 0)</f>
        <v>0.75</v>
      </c>
      <c r="H3" s="5"/>
      <c r="I3" s="5">
        <f>IFERROR('25'!$I$21, 0)</f>
        <v>0.78688524590163933</v>
      </c>
      <c r="J3" s="5">
        <f>IFERROR('25'!$I$24, 0)</f>
        <v>4</v>
      </c>
      <c r="K3" s="5">
        <f>IFERROR('25'!$J$24, 0)</f>
        <v>6</v>
      </c>
      <c r="L3" s="5">
        <f>IFERROR('25'!$K$24, 0)</f>
        <v>2.088931871468374</v>
      </c>
      <c r="M3" s="5"/>
      <c r="N3" s="48">
        <f>IFERROR('25'!$I$26, 0)</f>
        <v>1</v>
      </c>
      <c r="O3" s="48">
        <f>IFERROR('25'!$I$29, 0)</f>
        <v>1.6666666666666667</v>
      </c>
      <c r="P3" s="48">
        <f>IFERROR('25'!$J$29, 0)</f>
        <v>3</v>
      </c>
      <c r="Q3" s="48">
        <f>IFERROR('25'!$K$29, 0)</f>
        <v>1.2309149097933272</v>
      </c>
      <c r="R3" s="5"/>
      <c r="S3" s="48">
        <f>IFERROR('25'!I31, 0)</f>
        <v>0.72222222222222221</v>
      </c>
      <c r="T3" s="48">
        <f>IFERROR('25'!$I$34, 0)</f>
        <v>2.1666666666666665</v>
      </c>
      <c r="U3" s="48">
        <f>IFERROR('25'!$J$34, 0)</f>
        <v>8</v>
      </c>
      <c r="V3" s="48">
        <f>IFERROR('25'!$K$34, 0)</f>
        <v>2.7906771199618898</v>
      </c>
      <c r="W3" s="5"/>
      <c r="X3" s="48">
        <f>IFERROR('25'!L31, 0)</f>
        <v>0.61538461538461542</v>
      </c>
      <c r="Y3" s="48">
        <f>IFERROR('25'!L34, 0)</f>
        <v>4</v>
      </c>
      <c r="Z3" s="48">
        <f>IFERROR('25'!M34, 0)</f>
        <v>8</v>
      </c>
      <c r="AA3" s="48">
        <f>IFERROR('25'!N34, 0)</f>
        <v>3.6514837167011076</v>
      </c>
      <c r="AB3" s="5"/>
      <c r="AC3" s="5">
        <f>IFERROR('25'!$N$28, 0)</f>
        <v>0.15315315315315314</v>
      </c>
      <c r="AD3" s="5">
        <f>IFERROR('25'!$N$30, 0)</f>
        <v>0.84684684684684686</v>
      </c>
      <c r="AE3" s="5"/>
      <c r="AF3" s="5">
        <f>IFERROR('25'!$S$22, 0)</f>
        <v>0.5</v>
      </c>
      <c r="AG3" s="5">
        <f>IFERROR('25'!$U$22, 0)</f>
        <v>0</v>
      </c>
      <c r="AH3" s="5">
        <f>IFERROR('25'!$U$24, 0)</f>
        <v>0.5</v>
      </c>
      <c r="AI3" s="5">
        <f>IFERROR('25'!$S$24, 0)</f>
        <v>8.3333333333333329E-2</v>
      </c>
      <c r="AJ3" s="5"/>
      <c r="AK3" s="5">
        <f>IFERROR('25'!$G$68, 0)</f>
        <v>8.4166666666666661</v>
      </c>
      <c r="AN3" s="43">
        <v>1168</v>
      </c>
      <c r="AO3" s="43">
        <v>3637</v>
      </c>
      <c r="AP3" s="43"/>
    </row>
    <row r="4" spans="1:50" x14ac:dyDescent="0.2">
      <c r="A4" s="4">
        <v>41</v>
      </c>
      <c r="B4" s="5">
        <f>IFERROR('41'!$D$20, 0)</f>
        <v>0.33333333333333331</v>
      </c>
      <c r="C4" s="5">
        <f>IFERROR('41'!$D$26, 0)</f>
        <v>0.16666666666666666</v>
      </c>
      <c r="D4" s="5">
        <f>IFERROR('41'!$D$32, 0)</f>
        <v>0</v>
      </c>
      <c r="E4" s="48">
        <f>IFERROR('41'!$F$20, 0)</f>
        <v>0.5</v>
      </c>
      <c r="F4" s="48">
        <f>IFERROR('41'!$F$26, 0)</f>
        <v>0.16666666666666666</v>
      </c>
      <c r="G4" s="48">
        <f>IFERROR('41'!$F$32, 0)</f>
        <v>0</v>
      </c>
      <c r="H4" s="5"/>
      <c r="I4" s="5">
        <f>IFERROR('41'!$I$21, 0)</f>
        <v>0.90697674418604646</v>
      </c>
      <c r="J4" s="5">
        <f>IFERROR('41'!$I$24, 0)</f>
        <v>3.25</v>
      </c>
      <c r="K4" s="5">
        <f>IFERROR('41'!$J$24, 0)</f>
        <v>6</v>
      </c>
      <c r="L4" s="5">
        <f>IFERROR('41'!$K$24, 0)</f>
        <v>2.050498830661811</v>
      </c>
      <c r="M4" s="5"/>
      <c r="N4" s="48">
        <f>IFERROR('41'!$I$26, 0)</f>
        <v>1</v>
      </c>
      <c r="O4" s="48">
        <f>IFERROR('41'!$I$29, 0)</f>
        <v>0.16666666666666666</v>
      </c>
      <c r="P4" s="48">
        <f>IFERROR('41'!$J$29, 0)</f>
        <v>1</v>
      </c>
      <c r="Q4" s="48">
        <f>IFERROR('41'!$K$29, 0)</f>
        <v>0.38924947208076149</v>
      </c>
      <c r="R4" s="5"/>
      <c r="S4" s="48">
        <f>IFERROR('41'!I31, 0)</f>
        <v>1</v>
      </c>
      <c r="T4" s="48">
        <f>IFERROR('41'!$I$34, 0)</f>
        <v>0.91666666666666663</v>
      </c>
      <c r="U4" s="48">
        <f>IFERROR('41'!$J$34, 0)</f>
        <v>5</v>
      </c>
      <c r="V4" s="48">
        <f>IFERROR('41'!$K$34, 0)</f>
        <v>1.6213537179739277</v>
      </c>
      <c r="W4" s="5"/>
      <c r="X4" s="48">
        <f>IFERROR('41'!L31, 0)</f>
        <v>1</v>
      </c>
      <c r="Y4" s="48">
        <f>IFERROR('41'!L34, 0)</f>
        <v>1.5</v>
      </c>
      <c r="Z4" s="48">
        <f>IFERROR('41'!M34, 0)</f>
        <v>5</v>
      </c>
      <c r="AA4" s="48">
        <f>IFERROR('41'!N34, 0)</f>
        <v>2.3804761428476167</v>
      </c>
      <c r="AB4" s="5"/>
      <c r="AC4" s="5">
        <f>IFERROR('41'!$N$28, 0)</f>
        <v>8.3333333333333329E-2</v>
      </c>
      <c r="AD4" s="5">
        <f>IFERROR('41'!$N$30, 0)</f>
        <v>0.91666666666666663</v>
      </c>
      <c r="AE4" s="5"/>
      <c r="AF4" s="5">
        <f>IFERROR('41'!$S$22, 0)</f>
        <v>1</v>
      </c>
      <c r="AG4" s="5">
        <f>IFERROR('41'!$U$22, 0)</f>
        <v>1</v>
      </c>
      <c r="AH4" s="5">
        <f>IFERROR('41'!$U$24, 0)</f>
        <v>0</v>
      </c>
      <c r="AI4" s="5">
        <f>IFERROR('41'!$S$24, 0)</f>
        <v>8.3333333333333329E-2</v>
      </c>
      <c r="AJ4" s="5"/>
      <c r="AK4" s="5">
        <f>IFERROR('41'!$G$68, 0)</f>
        <v>4.666666666666667</v>
      </c>
      <c r="AN4" s="43">
        <v>747</v>
      </c>
      <c r="AO4" s="47">
        <v>11</v>
      </c>
      <c r="AP4" s="43"/>
    </row>
    <row r="5" spans="1:50" x14ac:dyDescent="0.2">
      <c r="A5" s="4">
        <v>56</v>
      </c>
      <c r="B5" s="5">
        <f>IFERROR('56'!$D$20, 0)</f>
        <v>0</v>
      </c>
      <c r="C5" s="5">
        <f>IFERROR('56'!$D$26, 0)</f>
        <v>0</v>
      </c>
      <c r="D5" s="5">
        <f>IFERROR('56'!$D$32, 0)</f>
        <v>0</v>
      </c>
      <c r="E5" s="48">
        <f>IFERROR('56'!$F$20, 0)</f>
        <v>1</v>
      </c>
      <c r="F5" s="48">
        <f>IFERROR('56'!$F$26, 0)</f>
        <v>0.75</v>
      </c>
      <c r="G5" s="48">
        <f>IFERROR('56'!$F$32, 0)</f>
        <v>0</v>
      </c>
      <c r="H5" s="5"/>
      <c r="I5" s="5">
        <f>IFERROR('56'!$I$21, 0)</f>
        <v>0.92063492063492058</v>
      </c>
      <c r="J5" s="5">
        <f>IFERROR('56'!$I$24, 0)</f>
        <v>4.833333333333333</v>
      </c>
      <c r="K5" s="5">
        <f>IFERROR('56'!$J$24, 0)</f>
        <v>8</v>
      </c>
      <c r="L5" s="5">
        <f>IFERROR('56'!$K$24, 0)</f>
        <v>2.0816659994661331</v>
      </c>
      <c r="M5" s="5"/>
      <c r="N5" s="48">
        <f>IFERROR('56'!$I$26, 0)</f>
        <v>1</v>
      </c>
      <c r="O5" s="48">
        <f>IFERROR('56'!$I$29, 0)</f>
        <v>0.75</v>
      </c>
      <c r="P5" s="48">
        <f>IFERROR('56'!$J$29, 0)</f>
        <v>4</v>
      </c>
      <c r="Q5" s="48">
        <f>IFERROR('56'!$K$29, 0)</f>
        <v>1.3568010505999362</v>
      </c>
      <c r="R5" s="5"/>
      <c r="S5" s="48">
        <f>IFERROR('56'!I31, 0)</f>
        <v>1</v>
      </c>
      <c r="T5" s="48">
        <f>IFERROR('56'!$I$34, 0)</f>
        <v>0.41666666666666669</v>
      </c>
      <c r="U5" s="48">
        <f>IFERROR('56'!$J$34, 0)</f>
        <v>5</v>
      </c>
      <c r="V5" s="48">
        <f>IFERROR('56'!$K$34, 0)</f>
        <v>1.4433756729740645</v>
      </c>
      <c r="W5" s="5"/>
      <c r="X5" s="48">
        <f>IFERROR('56'!L31, 0)</f>
        <v>0</v>
      </c>
      <c r="Y5" s="48">
        <f>IFERROR('56'!L34, 0)</f>
        <v>0</v>
      </c>
      <c r="Z5" s="48">
        <f>IFERROR('56'!M34, 0)</f>
        <v>0</v>
      </c>
      <c r="AA5" s="48">
        <f>IFERROR('56'!N34, 0)</f>
        <v>0</v>
      </c>
      <c r="AB5" s="5"/>
      <c r="AC5" s="5">
        <f>IFERROR('56'!$N$28, 0)</f>
        <v>0.19318181818181818</v>
      </c>
      <c r="AD5" s="5">
        <f>IFERROR('56'!$N$30, 0)</f>
        <v>0.80681818181818177</v>
      </c>
      <c r="AE5" s="5"/>
      <c r="AF5" s="5">
        <f>IFERROR('56'!$S$22, 0)</f>
        <v>0.88888888888888884</v>
      </c>
      <c r="AG5" s="5">
        <f>IFERROR('56'!$U$22, 0)</f>
        <v>0.875</v>
      </c>
      <c r="AH5" s="5">
        <f>IFERROR('56'!$U$24, 0)</f>
        <v>1</v>
      </c>
      <c r="AI5" s="5">
        <f>IFERROR('56'!$S$24, 0)</f>
        <v>0.66666666666666663</v>
      </c>
      <c r="AJ5" s="5"/>
      <c r="AK5" s="5">
        <f>IFERROR('56'!$G$68, 0)</f>
        <v>6.75</v>
      </c>
      <c r="AN5" s="43">
        <v>2600</v>
      </c>
      <c r="AO5" s="43">
        <v>1676</v>
      </c>
      <c r="AP5" s="43"/>
    </row>
    <row r="6" spans="1:50" x14ac:dyDescent="0.2">
      <c r="A6" s="4">
        <v>75</v>
      </c>
      <c r="B6" s="5">
        <f>IFERROR('75'!$D$20, 0)</f>
        <v>0.4</v>
      </c>
      <c r="C6" s="5">
        <f>IFERROR('75'!$D$26, 0)</f>
        <v>0.16666666666666666</v>
      </c>
      <c r="D6" s="5">
        <f>IFERROR('75'!$D$32, 0)</f>
        <v>0.5</v>
      </c>
      <c r="E6" s="48">
        <f>IFERROR('75'!$F$20, 0)</f>
        <v>1</v>
      </c>
      <c r="F6" s="48">
        <f>IFERROR('75'!$F$26, 0)</f>
        <v>0.58333333333333337</v>
      </c>
      <c r="G6" s="48">
        <f>IFERROR('75'!$F$32, 0)</f>
        <v>0</v>
      </c>
      <c r="H6" s="5"/>
      <c r="I6" s="5">
        <f>IFERROR('75'!$I$21, 0)</f>
        <v>0.7857142857142857</v>
      </c>
      <c r="J6" s="5">
        <f>IFERROR('75'!$I$24, 0)</f>
        <v>1.8333333333333333</v>
      </c>
      <c r="K6" s="5">
        <f>IFERROR('75'!$J$24, 0)</f>
        <v>4</v>
      </c>
      <c r="L6" s="5">
        <f>IFERROR('75'!$K$24, 0)</f>
        <v>1.5859229221975182</v>
      </c>
      <c r="M6" s="5"/>
      <c r="N6" s="48">
        <f>IFERROR('75'!$I$26, 0)</f>
        <v>1</v>
      </c>
      <c r="O6" s="48">
        <f>IFERROR('75'!$I$29, 0)</f>
        <v>0.66666666666666663</v>
      </c>
      <c r="P6" s="48">
        <f>IFERROR('75'!$J$29, 0)</f>
        <v>5</v>
      </c>
      <c r="Q6" s="48">
        <f>IFERROR('75'!$K$29, 0)</f>
        <v>1.4974726182552529</v>
      </c>
      <c r="R6" s="5"/>
      <c r="S6" s="48">
        <f>IFERROR('75'!I31, 0)</f>
        <v>0.96153846153846156</v>
      </c>
      <c r="T6" s="48">
        <f>IFERROR('75'!$I$34, 0)</f>
        <v>2.0833333333333335</v>
      </c>
      <c r="U6" s="48">
        <f>IFERROR('75'!$J$34, 0)</f>
        <v>9</v>
      </c>
      <c r="V6" s="48">
        <f>IFERROR('75'!$K$34, 0)</f>
        <v>3.5021638332824341</v>
      </c>
      <c r="W6" s="5"/>
      <c r="X6" s="48">
        <f>IFERROR('75'!L31, 0)</f>
        <v>0</v>
      </c>
      <c r="Y6" s="48">
        <f>IFERROR('75'!L34, 0)</f>
        <v>0</v>
      </c>
      <c r="Z6" s="48">
        <f>IFERROR('75'!M34, 0)</f>
        <v>0</v>
      </c>
      <c r="AA6" s="48">
        <f>IFERROR('75'!N34, 0)</f>
        <v>0</v>
      </c>
      <c r="AB6" s="5"/>
      <c r="AC6" s="5">
        <f>IFERROR('75'!$N$28, 0)</f>
        <v>9.2105263157894732E-2</v>
      </c>
      <c r="AD6" s="5">
        <f>IFERROR('75'!$N$30, 0)</f>
        <v>0.90789473684210531</v>
      </c>
      <c r="AE6" s="5"/>
      <c r="AF6" s="5">
        <f>IFERROR('75'!$S$22, 0)</f>
        <v>0.66666666666666663</v>
      </c>
      <c r="AG6" s="5">
        <f>IFERROR('75'!$U$22, 0)</f>
        <v>0.66666666666666663</v>
      </c>
      <c r="AH6" s="5">
        <f>IFERROR('75'!$U$24, 0)</f>
        <v>0</v>
      </c>
      <c r="AI6" s="5">
        <f>IFERROR('75'!$S$24, 0)</f>
        <v>0.16666666666666666</v>
      </c>
      <c r="AJ6" s="5"/>
      <c r="AK6" s="5">
        <f>IFERROR('75'!$G$68, 0)</f>
        <v>5.333333333333333</v>
      </c>
      <c r="AN6" s="43">
        <v>2016</v>
      </c>
      <c r="AO6" s="43">
        <v>1218</v>
      </c>
      <c r="AP6" s="43"/>
    </row>
    <row r="7" spans="1:50" x14ac:dyDescent="0.2">
      <c r="A7" s="4">
        <v>102</v>
      </c>
      <c r="B7" s="5">
        <f>IFERROR('102'!$D$20, 0)</f>
        <v>0.8</v>
      </c>
      <c r="C7" s="5">
        <f>IFERROR('102'!$D$26, 0)</f>
        <v>0.33333333333333331</v>
      </c>
      <c r="D7" s="5">
        <f>IFERROR('102'!$D$32, 0)</f>
        <v>0</v>
      </c>
      <c r="E7" s="48">
        <f>IFERROR('102'!$F$20, 0)</f>
        <v>1</v>
      </c>
      <c r="F7" s="48">
        <f>IFERROR('102'!$F$26, 0)</f>
        <v>8.3333333333333329E-2</v>
      </c>
      <c r="G7" s="48">
        <f>IFERROR('102'!$F$32, 0)</f>
        <v>0</v>
      </c>
      <c r="H7" s="5"/>
      <c r="I7" s="5">
        <f>IFERROR('102'!$I$21, 0)</f>
        <v>0.86538461538461542</v>
      </c>
      <c r="J7" s="5">
        <f>IFERROR('102'!$I$24, 0)</f>
        <v>3.75</v>
      </c>
      <c r="K7" s="5">
        <f>IFERROR('102'!$J$24, 0)</f>
        <v>6</v>
      </c>
      <c r="L7" s="5">
        <f>IFERROR('102'!$K$24, 0)</f>
        <v>1.2154310870109943</v>
      </c>
      <c r="M7" s="5"/>
      <c r="N7" s="48">
        <f>IFERROR('102'!$I$26, 0)</f>
        <v>0.75</v>
      </c>
      <c r="O7" s="48">
        <f>IFERROR('102'!$I$29, 0)</f>
        <v>0.5</v>
      </c>
      <c r="P7" s="48">
        <f>IFERROR('102'!$J$29, 0)</f>
        <v>2</v>
      </c>
      <c r="Q7" s="48">
        <f>IFERROR('102'!$K$29, 0)</f>
        <v>0.7977240352174656</v>
      </c>
      <c r="R7" s="5"/>
      <c r="S7" s="48">
        <f>IFERROR('102'!I31, 0)</f>
        <v>1</v>
      </c>
      <c r="T7" s="48">
        <f>IFERROR('102'!$I$34, 0)</f>
        <v>0.25</v>
      </c>
      <c r="U7" s="48">
        <f>IFERROR('102'!$J$34, 0)</f>
        <v>2</v>
      </c>
      <c r="V7" s="48">
        <f>IFERROR('102'!$K$34, 0)</f>
        <v>0.62158156050806102</v>
      </c>
      <c r="W7" s="5"/>
      <c r="X7" s="48">
        <f>IFERROR('102'!L31, 0)</f>
        <v>0</v>
      </c>
      <c r="Y7" s="48">
        <f>IFERROR('102'!L34, 0)</f>
        <v>0</v>
      </c>
      <c r="Z7" s="48">
        <f>IFERROR('102'!M34, 0)</f>
        <v>0</v>
      </c>
      <c r="AA7" s="48">
        <f>IFERROR('102'!N34, 0)</f>
        <v>0</v>
      </c>
      <c r="AB7" s="5"/>
      <c r="AC7" s="5">
        <f>IFERROR('102'!$N$28, 0)</f>
        <v>6.1538461538461542E-2</v>
      </c>
      <c r="AD7" s="5">
        <f>IFERROR('102'!$N$30, 0)</f>
        <v>0.93846153846153846</v>
      </c>
      <c r="AE7" s="5"/>
      <c r="AF7" s="5">
        <f>IFERROR('102'!$S$22, 0)</f>
        <v>1</v>
      </c>
      <c r="AG7" s="5">
        <f>IFERROR('102'!$U$22, 0)</f>
        <v>1</v>
      </c>
      <c r="AH7" s="5">
        <f>IFERROR('102'!$U$24, 0)</f>
        <v>1</v>
      </c>
      <c r="AI7" s="5">
        <f>IFERROR('102'!$S$24, 0)</f>
        <v>0.5</v>
      </c>
      <c r="AJ7" s="5"/>
      <c r="AK7" s="5">
        <f>IFERROR('102'!$G$68, 0)</f>
        <v>4.916666666666667</v>
      </c>
      <c r="AN7" s="43">
        <v>1143</v>
      </c>
      <c r="AO7" s="43">
        <v>2590</v>
      </c>
      <c r="AP7" s="43"/>
    </row>
    <row r="8" spans="1:50" x14ac:dyDescent="0.2">
      <c r="A8" s="4">
        <v>103</v>
      </c>
      <c r="B8" s="5">
        <f>IFERROR('103'!$D$20, 0)</f>
        <v>0.66666666666666663</v>
      </c>
      <c r="C8" s="5">
        <f>IFERROR('103'!$D$26, 0)</f>
        <v>0.5</v>
      </c>
      <c r="D8" s="5">
        <f>IFERROR('103'!$D$32, 0)</f>
        <v>0</v>
      </c>
      <c r="E8" s="48">
        <f>IFERROR('103'!$F$20, 0)</f>
        <v>1</v>
      </c>
      <c r="F8" s="48">
        <f>IFERROR('103'!$F$26, 0)</f>
        <v>0.16666666666666666</v>
      </c>
      <c r="G8" s="48">
        <f>IFERROR('103'!$F$32, 0)</f>
        <v>0</v>
      </c>
      <c r="H8" s="5"/>
      <c r="I8" s="5">
        <f>IFERROR('103'!$I$21, 0)</f>
        <v>0.9</v>
      </c>
      <c r="J8" s="5">
        <f>IFERROR('103'!$I$24, 0)</f>
        <v>2.25</v>
      </c>
      <c r="K8" s="5">
        <f>IFERROR('103'!$J$24, 0)</f>
        <v>6</v>
      </c>
      <c r="L8" s="5">
        <f>IFERROR('103'!$K$24, 0)</f>
        <v>2.2207697273283831</v>
      </c>
      <c r="M8" s="5"/>
      <c r="N8" s="48">
        <f>IFERROR('103'!$I$26, 0)</f>
        <v>1</v>
      </c>
      <c r="O8" s="48">
        <f>IFERROR('103'!$I$29, 0)</f>
        <v>8.3333333333333329E-2</v>
      </c>
      <c r="P8" s="48">
        <f>IFERROR('103'!$J$29, 0)</f>
        <v>1</v>
      </c>
      <c r="Q8" s="48">
        <f>IFERROR('103'!$K$29, 0)</f>
        <v>0.28867513459481287</v>
      </c>
      <c r="R8" s="5"/>
      <c r="S8" s="48">
        <f>IFERROR('103'!I31, 0)</f>
        <v>1</v>
      </c>
      <c r="T8" s="48">
        <f>IFERROR('103'!$I$34, 0)</f>
        <v>2.3333333333333335</v>
      </c>
      <c r="U8" s="48">
        <f>IFERROR('103'!$J$34, 0)</f>
        <v>9</v>
      </c>
      <c r="V8" s="48">
        <f>IFERROR('103'!$K$34, 0)</f>
        <v>3.5760143718781094</v>
      </c>
      <c r="W8" s="5"/>
      <c r="X8" s="48">
        <f>IFERROR('103'!L31, 0)</f>
        <v>1</v>
      </c>
      <c r="Y8" s="48">
        <f>IFERROR('103'!L34, 0)</f>
        <v>3.5</v>
      </c>
      <c r="Z8" s="48">
        <f>IFERROR('103'!M34, 0)</f>
        <v>9</v>
      </c>
      <c r="AA8" s="48">
        <f>IFERROR('103'!N34, 0)</f>
        <v>4.358898943540674</v>
      </c>
      <c r="AB8" s="5"/>
      <c r="AC8" s="5">
        <f>IFERROR('103'!$N$28, 0)</f>
        <v>0.22352941176470589</v>
      </c>
      <c r="AD8" s="5">
        <f>IFERROR('103'!$N$30, 0)</f>
        <v>0.77647058823529413</v>
      </c>
      <c r="AE8" s="5"/>
      <c r="AF8" s="5">
        <f>IFERROR('103'!$S$22, 0)</f>
        <v>1</v>
      </c>
      <c r="AG8" s="5">
        <f>IFERROR('103'!$U$22, 0)</f>
        <v>1</v>
      </c>
      <c r="AH8" s="5">
        <f>IFERROR('103'!$U$24, 0)</f>
        <v>0</v>
      </c>
      <c r="AI8" s="5">
        <f>IFERROR('103'!$S$24, 0)</f>
        <v>8.3333333333333329E-2</v>
      </c>
      <c r="AJ8" s="5"/>
      <c r="AK8" s="5">
        <f>IFERROR('103'!$G$68, 0)</f>
        <v>5.333333333333333</v>
      </c>
      <c r="AN8" s="43">
        <v>1403</v>
      </c>
      <c r="AO8" s="43">
        <v>75</v>
      </c>
      <c r="AP8" s="43"/>
    </row>
    <row r="9" spans="1:50" x14ac:dyDescent="0.2">
      <c r="A9" s="4">
        <v>203</v>
      </c>
      <c r="B9" s="5">
        <f>IFERROR('203'!$D$20, 0)</f>
        <v>0</v>
      </c>
      <c r="C9" s="5">
        <f>IFERROR('203'!$D$26, 0)</f>
        <v>0</v>
      </c>
      <c r="D9" s="5">
        <f>IFERROR('203'!$D$32, 0)</f>
        <v>0</v>
      </c>
      <c r="E9" s="48">
        <f>IFERROR('203'!$F$20, 0)</f>
        <v>0.5</v>
      </c>
      <c r="F9" s="48">
        <f>IFERROR('203'!$F$26, 0)</f>
        <v>0.25</v>
      </c>
      <c r="G9" s="48">
        <f>IFERROR('203'!$F$32, 0)</f>
        <v>0.5</v>
      </c>
      <c r="H9" s="5"/>
      <c r="I9" s="5">
        <f>IFERROR('203'!$I$21, 0)</f>
        <v>0.83333333333333337</v>
      </c>
      <c r="J9" s="5">
        <f>IFERROR('203'!$I$24, 0)</f>
        <v>2.0833333333333335</v>
      </c>
      <c r="K9" s="5">
        <f>IFERROR('203'!$J$24, 0)</f>
        <v>4</v>
      </c>
      <c r="L9" s="5">
        <f>IFERROR('203'!$K$24, 0)</f>
        <v>1.6213537179739277</v>
      </c>
      <c r="M9" s="5"/>
      <c r="N9" s="48">
        <f>IFERROR('203'!$I$26, 0)</f>
        <v>0.9</v>
      </c>
      <c r="O9" s="48">
        <f>IFERROR('203'!$I$29, 0)</f>
        <v>0.75</v>
      </c>
      <c r="P9" s="48">
        <f>IFERROR('203'!$J$29, 0)</f>
        <v>2</v>
      </c>
      <c r="Q9" s="48">
        <f>IFERROR('203'!$K$29, 0)</f>
        <v>0.62158156050806102</v>
      </c>
      <c r="R9" s="5"/>
      <c r="S9" s="48">
        <f>IFERROR('203'!I31, 0)</f>
        <v>0.96296296296296291</v>
      </c>
      <c r="T9" s="48">
        <f>IFERROR('203'!$I$34, 0)</f>
        <v>2.1666666666666665</v>
      </c>
      <c r="U9" s="48">
        <f>IFERROR('203'!$J$34, 0)</f>
        <v>9</v>
      </c>
      <c r="V9" s="48">
        <f>IFERROR('203'!$K$34, 0)</f>
        <v>3.2983007562664564</v>
      </c>
      <c r="W9" s="5"/>
      <c r="X9" s="48">
        <f>IFERROR('203'!L31, 0)</f>
        <v>0</v>
      </c>
      <c r="Y9" s="48">
        <f>IFERROR('203'!L34, 0)</f>
        <v>0</v>
      </c>
      <c r="Z9" s="48">
        <f>IFERROR('203'!M34, 0)</f>
        <v>0</v>
      </c>
      <c r="AA9" s="48">
        <f>IFERROR('203'!N34, 0)</f>
        <v>0</v>
      </c>
      <c r="AB9" s="5"/>
      <c r="AC9" s="5">
        <f>IFERROR('203'!$N$28, 0)</f>
        <v>7.2463768115942032E-2</v>
      </c>
      <c r="AD9" s="5">
        <f>IFERROR('203'!$N$30, 0)</f>
        <v>0.92753623188405798</v>
      </c>
      <c r="AE9" s="5"/>
      <c r="AF9" s="5">
        <f>IFERROR('203'!$S$22, 0)</f>
        <v>0.44444444444444442</v>
      </c>
      <c r="AG9" s="5">
        <f>IFERROR('203'!$U$22, 0)</f>
        <v>0.375</v>
      </c>
      <c r="AH9" s="5">
        <f>IFERROR('203'!$U$24, 0)</f>
        <v>0</v>
      </c>
      <c r="AI9" s="5">
        <f>IFERROR('203'!$S$24, 0)</f>
        <v>0.33333333333333331</v>
      </c>
      <c r="AJ9" s="5"/>
      <c r="AK9" s="5">
        <f>IFERROR('203'!$G$68, 0)</f>
        <v>5.25</v>
      </c>
      <c r="AN9" s="43">
        <v>4653</v>
      </c>
      <c r="AO9" s="43">
        <v>1989</v>
      </c>
      <c r="AP9" s="43"/>
    </row>
    <row r="10" spans="1:50" x14ac:dyDescent="0.2">
      <c r="A10" s="4">
        <v>219</v>
      </c>
      <c r="B10" s="5">
        <f>IFERROR('219'!$D$20, 0)</f>
        <v>0.72727272727272729</v>
      </c>
      <c r="C10" s="5">
        <f>IFERROR('219'!$D$26, 0)</f>
        <v>0.66666666666666663</v>
      </c>
      <c r="D10" s="5">
        <f>IFERROR('219'!$D$32, 0)</f>
        <v>0.5</v>
      </c>
      <c r="E10" s="48">
        <f>IFERROR('219'!$F$20, 0)</f>
        <v>1</v>
      </c>
      <c r="F10" s="48">
        <f>IFERROR('219'!$F$26, 0)</f>
        <v>8.3333333333333329E-2</v>
      </c>
      <c r="G10" s="48">
        <f>IFERROR('219'!$F$32, 0)</f>
        <v>0</v>
      </c>
      <c r="H10" s="5"/>
      <c r="I10" s="5">
        <f>IFERROR('219'!$I$21, 0)</f>
        <v>0.63829787234042556</v>
      </c>
      <c r="J10" s="5">
        <f>IFERROR('219'!$I$24, 0)</f>
        <v>2.5</v>
      </c>
      <c r="K10" s="5">
        <f>IFERROR('219'!$J$24, 0)</f>
        <v>5</v>
      </c>
      <c r="L10" s="5">
        <f>IFERROR('219'!$K$24, 0)</f>
        <v>1.7320508075688772</v>
      </c>
      <c r="M10" s="5"/>
      <c r="N10" s="48">
        <f>IFERROR('219'!$I$26, 0)</f>
        <v>0.75</v>
      </c>
      <c r="O10" s="48">
        <f>IFERROR('219'!$I$29, 0)</f>
        <v>0.5</v>
      </c>
      <c r="P10" s="48">
        <f>IFERROR('219'!$J$29, 0)</f>
        <v>2</v>
      </c>
      <c r="Q10" s="48">
        <f>IFERROR('219'!$K$29, 0)</f>
        <v>0.7977240352174656</v>
      </c>
      <c r="R10" s="5"/>
      <c r="S10" s="48">
        <f>IFERROR('219'!I31, 0)</f>
        <v>1</v>
      </c>
      <c r="T10" s="48">
        <f>IFERROR('219'!$I$34, 0)</f>
        <v>0.5</v>
      </c>
      <c r="U10" s="48">
        <f>IFERROR('219'!$J$34, 0)</f>
        <v>4</v>
      </c>
      <c r="V10" s="48">
        <f>IFERROR('219'!$K$34, 0)</f>
        <v>1.243163121016122</v>
      </c>
      <c r="W10" s="5"/>
      <c r="X10" s="48">
        <f>IFERROR('219'!L31, 0)</f>
        <v>0</v>
      </c>
      <c r="Y10" s="48">
        <f>IFERROR('219'!L34, 0)</f>
        <v>0</v>
      </c>
      <c r="Z10" s="48">
        <f>IFERROR('219'!M34, 0)</f>
        <v>0</v>
      </c>
      <c r="AA10" s="48">
        <f>IFERROR('219'!N34, 0)</f>
        <v>0</v>
      </c>
      <c r="AB10" s="5"/>
      <c r="AC10" s="5">
        <f>IFERROR('219'!$N$28, 0)</f>
        <v>0.15714285714285714</v>
      </c>
      <c r="AD10" s="5">
        <f>IFERROR('219'!$N$30, 0)</f>
        <v>0.84285714285714286</v>
      </c>
      <c r="AE10" s="5"/>
      <c r="AF10" s="5">
        <f>IFERROR('219'!$S$22, 0)</f>
        <v>0.33333333333333331</v>
      </c>
      <c r="AG10" s="5">
        <f>IFERROR('219'!$U$22, 0)</f>
        <v>0</v>
      </c>
      <c r="AH10" s="5">
        <f>IFERROR('219'!$U$24, 0)</f>
        <v>1</v>
      </c>
      <c r="AI10" s="5">
        <f>IFERROR('219'!$S$24, 0)</f>
        <v>8.3333333333333329E-2</v>
      </c>
      <c r="AJ10" s="5"/>
      <c r="AK10" s="5">
        <f>IFERROR('219'!$G$68, 0)</f>
        <v>4.25</v>
      </c>
      <c r="AN10" s="43">
        <v>11</v>
      </c>
      <c r="AO10" s="43">
        <v>1403</v>
      </c>
      <c r="AP10" s="43"/>
    </row>
    <row r="11" spans="1:50" x14ac:dyDescent="0.2">
      <c r="A11" s="4">
        <v>222</v>
      </c>
      <c r="B11" s="5">
        <f>IFERROR('222'!$D$20, 0)</f>
        <v>0.5</v>
      </c>
      <c r="C11" s="5">
        <f>IFERROR('222'!$D$26, 0)</f>
        <v>8.3333333333333329E-2</v>
      </c>
      <c r="D11" s="5">
        <f>IFERROR('222'!$D$32, 0)</f>
        <v>0</v>
      </c>
      <c r="E11" s="48">
        <f>IFERROR('222'!$F$20, 0)</f>
        <v>0.83333333333333337</v>
      </c>
      <c r="F11" s="48">
        <f>IFERROR('222'!$F$26, 0)</f>
        <v>0.41666666666666669</v>
      </c>
      <c r="G11" s="48">
        <f>IFERROR('222'!$F$32, 0)</f>
        <v>0.5</v>
      </c>
      <c r="H11" s="5"/>
      <c r="I11" s="5">
        <f>IFERROR('222'!$I$21, 0)</f>
        <v>0.95</v>
      </c>
      <c r="J11" s="5">
        <f>IFERROR('222'!$I$24, 0)</f>
        <v>1.5833333333333333</v>
      </c>
      <c r="K11" s="5">
        <f>IFERROR('222'!$J$24, 0)</f>
        <v>4</v>
      </c>
      <c r="L11" s="5">
        <f>IFERROR('222'!$K$24, 0)</f>
        <v>1.5050420310248864</v>
      </c>
      <c r="M11" s="5"/>
      <c r="N11" s="48">
        <f>IFERROR('222'!$I$26, 0)</f>
        <v>1</v>
      </c>
      <c r="O11" s="48">
        <f>IFERROR('222'!$I$29, 0)</f>
        <v>0.41666666666666669</v>
      </c>
      <c r="P11" s="48">
        <f>IFERROR('222'!$J$29, 0)</f>
        <v>4</v>
      </c>
      <c r="Q11" s="48">
        <f>IFERROR('222'!$K$29, 0)</f>
        <v>1.164500152881315</v>
      </c>
      <c r="R11" s="5"/>
      <c r="S11" s="48">
        <f>IFERROR('222'!I31, 0)</f>
        <v>0.97777777777777775</v>
      </c>
      <c r="T11" s="48">
        <f>IFERROR('222'!$I$34, 0)</f>
        <v>3.6666666666666665</v>
      </c>
      <c r="U11" s="48">
        <f>IFERROR('222'!$J$34, 0)</f>
        <v>10</v>
      </c>
      <c r="V11" s="48">
        <f>IFERROR('222'!$K$34, 0)</f>
        <v>3.9848196795824875</v>
      </c>
      <c r="W11" s="5"/>
      <c r="X11" s="48">
        <f>IFERROR('222'!L31, 0)</f>
        <v>0.96</v>
      </c>
      <c r="Y11" s="48">
        <f>IFERROR('222'!L34, 0)</f>
        <v>4.8</v>
      </c>
      <c r="Z11" s="48">
        <f>IFERROR('222'!M34, 0)</f>
        <v>10</v>
      </c>
      <c r="AA11" s="48">
        <f>IFERROR('222'!N34, 0)</f>
        <v>4.7644516998286379</v>
      </c>
      <c r="AB11" s="5"/>
      <c r="AC11" s="5">
        <f>IFERROR('222'!$N$28, 0)</f>
        <v>2.8169014084507043E-2</v>
      </c>
      <c r="AD11" s="5">
        <f>IFERROR('222'!$N$30, 0)</f>
        <v>0.971830985915493</v>
      </c>
      <c r="AE11" s="5"/>
      <c r="AF11" s="5">
        <f>IFERROR('222'!$S$22, 0)</f>
        <v>0.75</v>
      </c>
      <c r="AG11" s="5">
        <f>IFERROR('222'!$U$22, 0)</f>
        <v>0.75</v>
      </c>
      <c r="AH11" s="5">
        <f>IFERROR('222'!$U$24, 0)</f>
        <v>0</v>
      </c>
      <c r="AI11" s="5">
        <f>IFERROR('222'!$S$24, 0)</f>
        <v>0.5</v>
      </c>
      <c r="AJ11" s="5"/>
      <c r="AK11" s="5">
        <f>IFERROR('222'!$G$68, 0)</f>
        <v>6.166666666666667</v>
      </c>
      <c r="AN11" s="43">
        <v>293</v>
      </c>
      <c r="AO11" s="43">
        <v>5992</v>
      </c>
      <c r="AP11" s="43"/>
    </row>
    <row r="12" spans="1:50" x14ac:dyDescent="0.2">
      <c r="A12" s="4">
        <v>223</v>
      </c>
      <c r="B12" s="5">
        <f>IFERROR('223'!$D$20, 0)</f>
        <v>0.5714285714285714</v>
      </c>
      <c r="C12" s="5">
        <f>IFERROR('223'!$D$26, 0)</f>
        <v>0.33333333333333331</v>
      </c>
      <c r="D12" s="5">
        <f>IFERROR('223'!$D$32, 0)</f>
        <v>0</v>
      </c>
      <c r="E12" s="48">
        <f>IFERROR('223'!$F$20, 0)</f>
        <v>0.25</v>
      </c>
      <c r="F12" s="48">
        <f>IFERROR('223'!$F$26, 0)</f>
        <v>8.3333333333333329E-2</v>
      </c>
      <c r="G12" s="48">
        <f>IFERROR('223'!$F$32, 0)</f>
        <v>0</v>
      </c>
      <c r="H12" s="5"/>
      <c r="I12" s="5">
        <f>IFERROR('223'!$I$21, 0)</f>
        <v>0.69444444444444442</v>
      </c>
      <c r="J12" s="5">
        <f>IFERROR('223'!$I$24, 0)</f>
        <v>2.0833333333333335</v>
      </c>
      <c r="K12" s="5">
        <f>IFERROR('223'!$J$24, 0)</f>
        <v>4</v>
      </c>
      <c r="L12" s="5">
        <f>IFERROR('223'!$K$24, 0)</f>
        <v>1.378954368902449</v>
      </c>
      <c r="M12" s="5"/>
      <c r="N12" s="48">
        <f>IFERROR('223'!$I$26, 0)</f>
        <v>0.94117647058823528</v>
      </c>
      <c r="O12" s="48">
        <f>IFERROR('223'!$I$29, 0)</f>
        <v>1.3333333333333333</v>
      </c>
      <c r="P12" s="48">
        <f>IFERROR('223'!$J$29, 0)</f>
        <v>4</v>
      </c>
      <c r="Q12" s="48">
        <f>IFERROR('223'!$K$29, 0)</f>
        <v>1.3706888336846839</v>
      </c>
      <c r="R12" s="5"/>
      <c r="S12" s="48">
        <f>IFERROR('223'!I31, 0)</f>
        <v>1</v>
      </c>
      <c r="T12" s="48">
        <f>IFERROR('223'!$I$34, 0)</f>
        <v>2.8333333333333335</v>
      </c>
      <c r="U12" s="48">
        <f>IFERROR('223'!$J$34, 0)</f>
        <v>8</v>
      </c>
      <c r="V12" s="48">
        <f>IFERROR('223'!$K$34, 0)</f>
        <v>2.9180732539042804</v>
      </c>
      <c r="W12" s="5"/>
      <c r="X12" s="48">
        <f>IFERROR('223'!L31, 0)</f>
        <v>1</v>
      </c>
      <c r="Y12" s="48">
        <f>IFERROR('223'!L34, 0)</f>
        <v>2.25</v>
      </c>
      <c r="Z12" s="48">
        <f>IFERROR('223'!M34, 0)</f>
        <v>6</v>
      </c>
      <c r="AA12" s="48">
        <f>IFERROR('223'!N34, 0)</f>
        <v>2.8722813232690143</v>
      </c>
      <c r="AB12" s="5"/>
      <c r="AC12" s="5">
        <f>IFERROR('223'!$N$28, 0)</f>
        <v>6.3157894736842107E-2</v>
      </c>
      <c r="AD12" s="5">
        <f>IFERROR('223'!$N$30, 0)</f>
        <v>0.93684210526315792</v>
      </c>
      <c r="AE12" s="5"/>
      <c r="AF12" s="5">
        <f>IFERROR('223'!$S$22, 0)</f>
        <v>0.83333333333333337</v>
      </c>
      <c r="AG12" s="5">
        <f>IFERROR('223'!$U$22, 0)</f>
        <v>0.8</v>
      </c>
      <c r="AH12" s="5">
        <f>IFERROR('223'!$U$24, 0)</f>
        <v>1</v>
      </c>
      <c r="AI12" s="5">
        <f>IFERROR('223'!$S$24, 0)</f>
        <v>0.41666666666666669</v>
      </c>
      <c r="AJ12" s="5"/>
      <c r="AK12" s="5">
        <f>IFERROR('223'!$G$68, 0)</f>
        <v>6.666666666666667</v>
      </c>
      <c r="AN12" s="43">
        <v>6203</v>
      </c>
      <c r="AO12" s="43">
        <v>5407</v>
      </c>
      <c r="AP12" s="43"/>
    </row>
    <row r="13" spans="1:50" x14ac:dyDescent="0.2">
      <c r="A13" s="4">
        <v>225</v>
      </c>
      <c r="B13" s="5">
        <f>IFERROR('225'!$D$20, 0)</f>
        <v>1</v>
      </c>
      <c r="C13" s="5">
        <f>IFERROR('225'!$D$26, 0)</f>
        <v>1.8</v>
      </c>
      <c r="D13" s="5">
        <f>IFERROR('225'!$D$32, 0)</f>
        <v>0.9375</v>
      </c>
      <c r="E13" s="48">
        <f>IFERROR('225'!$F$20, 0)</f>
        <v>0</v>
      </c>
      <c r="F13" s="48">
        <f>IFERROR('225'!$F$26, 0)</f>
        <v>0</v>
      </c>
      <c r="G13" s="48">
        <f>IFERROR('225'!$F$32, 0)</f>
        <v>0</v>
      </c>
      <c r="H13" s="5"/>
      <c r="I13" s="5">
        <f>IFERROR('225'!$I$21, 0)</f>
        <v>0.86956521739130432</v>
      </c>
      <c r="J13" s="5">
        <f>IFERROR('225'!$I$24, 0)</f>
        <v>2</v>
      </c>
      <c r="K13" s="5">
        <f>IFERROR('225'!$J$24, 0)</f>
        <v>5</v>
      </c>
      <c r="L13" s="5">
        <f>IFERROR('225'!$K$24, 0)</f>
        <v>1.8856180831641267</v>
      </c>
      <c r="M13" s="5"/>
      <c r="N13" s="48">
        <f>IFERROR('225'!$I$26, 0)</f>
        <v>1</v>
      </c>
      <c r="O13" s="48">
        <f>IFERROR('225'!$I$29, 0)</f>
        <v>0.8</v>
      </c>
      <c r="P13" s="48">
        <f>IFERROR('225'!$J$29, 0)</f>
        <v>3</v>
      </c>
      <c r="Q13" s="48">
        <f>IFERROR('225'!$K$29, 0)</f>
        <v>1.1352924243950933</v>
      </c>
      <c r="R13" s="5"/>
      <c r="S13" s="48">
        <f>IFERROR('225'!I31, 0)</f>
        <v>1</v>
      </c>
      <c r="T13" s="48">
        <f>IFERROR('225'!$I$34, 0)</f>
        <v>2.2000000000000002</v>
      </c>
      <c r="U13" s="48">
        <f>IFERROR('225'!$J$34, 0)</f>
        <v>7</v>
      </c>
      <c r="V13" s="48">
        <f>IFERROR('225'!$K$34, 0)</f>
        <v>2.780887148615228</v>
      </c>
      <c r="W13" s="5"/>
      <c r="X13" s="48">
        <f>IFERROR('225'!L31, 0)</f>
        <v>1</v>
      </c>
      <c r="Y13" s="48">
        <f>IFERROR('225'!L34, 0)</f>
        <v>2</v>
      </c>
      <c r="Z13" s="48">
        <f>IFERROR('225'!M34, 0)</f>
        <v>4</v>
      </c>
      <c r="AA13" s="48">
        <f>IFERROR('225'!N34, 0)</f>
        <v>2.8284271247461903</v>
      </c>
      <c r="AB13" s="5"/>
      <c r="AC13" s="5">
        <f>IFERROR('225'!$N$28, 0)</f>
        <v>0.18604651162790697</v>
      </c>
      <c r="AD13" s="5">
        <f>IFERROR('225'!$N$30, 0)</f>
        <v>0.81395348837209303</v>
      </c>
      <c r="AE13" s="5"/>
      <c r="AF13" s="5">
        <f>IFERROR('225'!$S$22, 0)</f>
        <v>1</v>
      </c>
      <c r="AG13" s="5">
        <f>IFERROR('225'!$U$22, 0)</f>
        <v>1</v>
      </c>
      <c r="AH13" s="5">
        <f>IFERROR('225'!$U$24, 0)</f>
        <v>1</v>
      </c>
      <c r="AI13" s="5">
        <f>IFERROR('225'!$S$24, 0)</f>
        <v>0.9</v>
      </c>
      <c r="AJ13" s="5"/>
      <c r="AK13" s="5">
        <f>IFERROR('225'!$G$68, 0)</f>
        <v>6.8</v>
      </c>
      <c r="AN13" s="43">
        <v>6945</v>
      </c>
      <c r="AO13" s="43">
        <v>2600</v>
      </c>
      <c r="AP13" s="43"/>
    </row>
    <row r="14" spans="1:50" x14ac:dyDescent="0.2">
      <c r="A14" s="4">
        <v>272</v>
      </c>
      <c r="B14" s="5">
        <f>IFERROR('272'!$D$20, 0)</f>
        <v>1</v>
      </c>
      <c r="C14" s="5">
        <f>IFERROR('272'!$D$26, 0)</f>
        <v>8.3333333333333329E-2</v>
      </c>
      <c r="D14" s="5">
        <f>IFERROR('272'!$D$32, 0)</f>
        <v>0</v>
      </c>
      <c r="E14" s="48">
        <f>IFERROR('272'!$F$20, 0)</f>
        <v>0.77777777777777779</v>
      </c>
      <c r="F14" s="48">
        <f>IFERROR('272'!$F$26, 0)</f>
        <v>0.58333333333333337</v>
      </c>
      <c r="G14" s="48">
        <f>IFERROR('272'!$F$32, 0)</f>
        <v>0</v>
      </c>
      <c r="H14" s="5"/>
      <c r="I14" s="5">
        <f>IFERROR('272'!$I$21, 0)</f>
        <v>0.7142857142857143</v>
      </c>
      <c r="J14" s="5">
        <f>IFERROR('272'!$I$24, 0)</f>
        <v>0.41666666666666669</v>
      </c>
      <c r="K14" s="5">
        <f>IFERROR('272'!$J$24, 0)</f>
        <v>2</v>
      </c>
      <c r="L14" s="5">
        <f>IFERROR('272'!$K$24, 0)</f>
        <v>0.66855792342152143</v>
      </c>
      <c r="M14" s="5"/>
      <c r="N14" s="48">
        <f>IFERROR('272'!$I$26, 0)</f>
        <v>1</v>
      </c>
      <c r="O14" s="48">
        <f>IFERROR('272'!$I$29, 0)</f>
        <v>1.3333333333333333</v>
      </c>
      <c r="P14" s="48">
        <f>IFERROR('272'!$J$29, 0)</f>
        <v>4</v>
      </c>
      <c r="Q14" s="48">
        <f>IFERROR('272'!$K$29, 0)</f>
        <v>1.3026778945578592</v>
      </c>
      <c r="R14" s="5"/>
      <c r="S14" s="48">
        <f>IFERROR('272'!I31, 0)</f>
        <v>1</v>
      </c>
      <c r="T14" s="48">
        <f>IFERROR('272'!$I$34, 0)</f>
        <v>3.4166666666666665</v>
      </c>
      <c r="U14" s="48">
        <f>IFERROR('272'!$J$34, 0)</f>
        <v>7</v>
      </c>
      <c r="V14" s="48">
        <f>IFERROR('272'!$K$34, 0)</f>
        <v>2.8749176536296677</v>
      </c>
      <c r="W14" s="5"/>
      <c r="X14" s="48">
        <f>IFERROR('272'!L31, 0)</f>
        <v>1</v>
      </c>
      <c r="Y14" s="48">
        <f>IFERROR('272'!L34, 0)</f>
        <v>4.25</v>
      </c>
      <c r="Z14" s="48">
        <f>IFERROR('272'!M34, 0)</f>
        <v>6</v>
      </c>
      <c r="AA14" s="48">
        <f>IFERROR('272'!N34, 0)</f>
        <v>2.8722813232690143</v>
      </c>
      <c r="AB14" s="5"/>
      <c r="AC14" s="5">
        <f>IFERROR('272'!$N$28, 0)</f>
        <v>6.7567567567567571E-2</v>
      </c>
      <c r="AD14" s="5">
        <f>IFERROR('272'!$N$30, 0)</f>
        <v>0.93243243243243246</v>
      </c>
      <c r="AE14" s="5"/>
      <c r="AF14" s="5">
        <f>IFERROR('272'!$S$22, 0)</f>
        <v>1</v>
      </c>
      <c r="AG14" s="5">
        <f>IFERROR('272'!$U$22, 0)</f>
        <v>1</v>
      </c>
      <c r="AH14" s="5">
        <f>IFERROR('272'!$U$24, 0)</f>
        <v>1</v>
      </c>
      <c r="AI14" s="5">
        <f>IFERROR('272'!$S$24, 0)</f>
        <v>0.66666666666666663</v>
      </c>
      <c r="AJ14" s="5"/>
      <c r="AK14" s="5">
        <f>IFERROR('272'!$G$68, 0)</f>
        <v>5.833333333333333</v>
      </c>
      <c r="AN14" s="43">
        <v>708</v>
      </c>
      <c r="AO14" s="47">
        <v>6945</v>
      </c>
      <c r="AP14" s="43"/>
    </row>
    <row r="15" spans="1:50" x14ac:dyDescent="0.2">
      <c r="A15" s="4">
        <v>293</v>
      </c>
      <c r="B15" s="5">
        <f>IFERROR('293'!$D$20, 0)</f>
        <v>1</v>
      </c>
      <c r="C15" s="5">
        <f>IFERROR('293'!$D$26, 0)</f>
        <v>8.3333333333333329E-2</v>
      </c>
      <c r="D15" s="5">
        <f>IFERROR('293'!$D$32, 0)</f>
        <v>0</v>
      </c>
      <c r="E15" s="48">
        <f>IFERROR('293'!$F$20, 0)</f>
        <v>0.8</v>
      </c>
      <c r="F15" s="48">
        <f>IFERROR('293'!$F$26, 0)</f>
        <v>0.66666666666666663</v>
      </c>
      <c r="G15" s="48">
        <f>IFERROR('293'!$F$32, 0)</f>
        <v>0</v>
      </c>
      <c r="H15" s="5"/>
      <c r="I15" s="5">
        <f>IFERROR('293'!$I$21, 0)</f>
        <v>0.9</v>
      </c>
      <c r="J15" s="5">
        <f>IFERROR('293'!$I$24, 0)</f>
        <v>0.75</v>
      </c>
      <c r="K15" s="5">
        <f>IFERROR('293'!$J$24, 0)</f>
        <v>5</v>
      </c>
      <c r="L15" s="5">
        <f>IFERROR('293'!$K$24, 0)</f>
        <v>1.764549903980152</v>
      </c>
      <c r="M15" s="5"/>
      <c r="N15" s="48">
        <f>IFERROR('293'!$I$26, 0)</f>
        <v>0.8</v>
      </c>
      <c r="O15" s="48">
        <f>IFERROR('293'!$I$29, 0)</f>
        <v>0.66666666666666663</v>
      </c>
      <c r="P15" s="48">
        <f>IFERROR('293'!$J$29, 0)</f>
        <v>3</v>
      </c>
      <c r="Q15" s="48">
        <f>IFERROR('293'!$K$29, 0)</f>
        <v>0.9847319278346619</v>
      </c>
      <c r="R15" s="5"/>
      <c r="S15" s="48">
        <f>IFERROR('293'!I31, 0)</f>
        <v>1</v>
      </c>
      <c r="T15" s="48">
        <f>IFERROR('293'!$I$34, 0)</f>
        <v>3.3333333333333335</v>
      </c>
      <c r="U15" s="48">
        <f>IFERROR('293'!$J$34, 0)</f>
        <v>9</v>
      </c>
      <c r="V15" s="48">
        <f>IFERROR('293'!$K$34, 0)</f>
        <v>3.869069264008719</v>
      </c>
      <c r="W15" s="5"/>
      <c r="X15" s="48">
        <f>IFERROR('293'!L31, 0)</f>
        <v>1</v>
      </c>
      <c r="Y15" s="48">
        <f>IFERROR('293'!L34, 0)</f>
        <v>4.25</v>
      </c>
      <c r="Z15" s="48">
        <f>IFERROR('293'!M34, 0)</f>
        <v>9</v>
      </c>
      <c r="AA15" s="48">
        <f>IFERROR('293'!N34, 0)</f>
        <v>4.924428900898052</v>
      </c>
      <c r="AB15" s="5"/>
      <c r="AC15" s="5">
        <f>IFERROR('293'!$N$28, 0)</f>
        <v>3.0769230769230771E-2</v>
      </c>
      <c r="AD15" s="5">
        <f>IFERROR('293'!$N$30, 0)</f>
        <v>0.96923076923076923</v>
      </c>
      <c r="AE15" s="5"/>
      <c r="AF15" s="5">
        <f>IFERROR('293'!$S$22, 0)</f>
        <v>0.42857142857142855</v>
      </c>
      <c r="AG15" s="5">
        <f>IFERROR('293'!$U$22, 0)</f>
        <v>0.5</v>
      </c>
      <c r="AH15" s="5">
        <f>IFERROR('293'!$U$24, 0)</f>
        <v>0</v>
      </c>
      <c r="AI15" s="5">
        <f>IFERROR('293'!$S$24, 0)</f>
        <v>0.25</v>
      </c>
      <c r="AJ15" s="5"/>
      <c r="AK15" s="5">
        <f>IFERROR('293'!$G$68, 0)</f>
        <v>5.5</v>
      </c>
      <c r="AN15" s="43">
        <v>321</v>
      </c>
      <c r="AO15" s="43">
        <v>2539</v>
      </c>
      <c r="AP15" s="43"/>
    </row>
    <row r="16" spans="1:50" x14ac:dyDescent="0.2">
      <c r="A16" s="4">
        <v>303</v>
      </c>
      <c r="B16" s="5">
        <f>IFERROR('303'!$D$20, 0)</f>
        <v>0.66666666666666663</v>
      </c>
      <c r="C16" s="5">
        <f>IFERROR('303'!$D$26, 0)</f>
        <v>0.16666666666666666</v>
      </c>
      <c r="D16" s="5">
        <f>IFERROR('303'!$D$32, 0)</f>
        <v>0</v>
      </c>
      <c r="E16" s="48">
        <f>IFERROR('303'!$F$20, 0)</f>
        <v>1</v>
      </c>
      <c r="F16" s="48">
        <f>IFERROR('303'!$F$26, 0)</f>
        <v>0.83333333333333337</v>
      </c>
      <c r="G16" s="48">
        <f>IFERROR('303'!$F$32, 0)</f>
        <v>0.75</v>
      </c>
      <c r="H16" s="5"/>
      <c r="I16" s="5">
        <f>IFERROR('303'!$I$21, 0)</f>
        <v>0.93617021276595747</v>
      </c>
      <c r="J16" s="5">
        <f>IFERROR('303'!$I$24, 0)</f>
        <v>3.6666666666666665</v>
      </c>
      <c r="K16" s="5">
        <f>IFERROR('303'!$J$24, 0)</f>
        <v>7</v>
      </c>
      <c r="L16" s="5">
        <f>IFERROR('303'!$K$24, 0)</f>
        <v>1.8257418583505536</v>
      </c>
      <c r="M16" s="5"/>
      <c r="N16" s="48">
        <f>IFERROR('303'!$I$26, 0)</f>
        <v>1</v>
      </c>
      <c r="O16" s="48">
        <f>IFERROR('303'!$I$29, 0)</f>
        <v>0.83333333333333337</v>
      </c>
      <c r="P16" s="48">
        <f>IFERROR('303'!$J$29, 0)</f>
        <v>3</v>
      </c>
      <c r="Q16" s="48">
        <f>IFERROR('303'!$K$29, 0)</f>
        <v>1.0298573010888745</v>
      </c>
      <c r="R16" s="5"/>
      <c r="S16" s="48">
        <f>IFERROR('303'!I31, 0)</f>
        <v>1</v>
      </c>
      <c r="T16" s="48">
        <f>IFERROR('303'!$I$34, 0)</f>
        <v>1.4166666666666667</v>
      </c>
      <c r="U16" s="48">
        <f>IFERROR('303'!$J$34, 0)</f>
        <v>7</v>
      </c>
      <c r="V16" s="48">
        <f>IFERROR('303'!$K$34, 0)</f>
        <v>2.1087839379532691</v>
      </c>
      <c r="W16" s="5"/>
      <c r="X16" s="48">
        <f>IFERROR('303'!L31, 0)</f>
        <v>1</v>
      </c>
      <c r="Y16" s="48">
        <f>IFERROR('303'!L34, 0)</f>
        <v>0.5</v>
      </c>
      <c r="Z16" s="48">
        <f>IFERROR('303'!M34, 0)</f>
        <v>1</v>
      </c>
      <c r="AA16" s="48">
        <f>IFERROR('303'!N34, 0)</f>
        <v>0.57735026918962573</v>
      </c>
      <c r="AB16" s="5"/>
      <c r="AC16" s="5">
        <f>IFERROR('303'!$N$28, 0)</f>
        <v>0.13414634146341464</v>
      </c>
      <c r="AD16" s="5">
        <f>IFERROR('303'!$N$30, 0)</f>
        <v>0.86585365853658536</v>
      </c>
      <c r="AE16" s="5"/>
      <c r="AF16" s="5">
        <f>IFERROR('303'!$S$22, 0)</f>
        <v>0.75</v>
      </c>
      <c r="AG16" s="5">
        <f>IFERROR('303'!$U$22, 0)</f>
        <v>0.8571428571428571</v>
      </c>
      <c r="AH16" s="5">
        <f>IFERROR('303'!$U$24, 0)</f>
        <v>0</v>
      </c>
      <c r="AI16" s="5">
        <f>IFERROR('303'!$S$24, 0)</f>
        <v>0.5</v>
      </c>
      <c r="AJ16" s="5"/>
      <c r="AK16" s="5">
        <f>IFERROR('303'!$G$68, 0)</f>
        <v>6.916666666666667</v>
      </c>
      <c r="AN16" s="43">
        <v>75</v>
      </c>
      <c r="AO16">
        <v>272</v>
      </c>
      <c r="AP16" s="31"/>
    </row>
    <row r="17" spans="1:42" x14ac:dyDescent="0.2">
      <c r="A17" s="4">
        <v>316</v>
      </c>
      <c r="B17" s="5">
        <f>IFERROR('316'!$D$20, 0)</f>
        <v>0.5714285714285714</v>
      </c>
      <c r="C17" s="5">
        <f>IFERROR('316'!$D$26, 0)</f>
        <v>0.33333333333333331</v>
      </c>
      <c r="D17" s="5">
        <f>IFERROR('316'!$D$32, 0)</f>
        <v>0</v>
      </c>
      <c r="E17" s="48">
        <f>IFERROR('316'!$F$20, 0)</f>
        <v>1</v>
      </c>
      <c r="F17" s="48">
        <f>IFERROR('316'!$F$26, 0)</f>
        <v>0.41666666666666669</v>
      </c>
      <c r="G17" s="48">
        <f>IFERROR('316'!$F$32, 0)</f>
        <v>0</v>
      </c>
      <c r="H17" s="5"/>
      <c r="I17" s="5">
        <f>IFERROR('316'!$I$21, 0)</f>
        <v>0.86046511627906974</v>
      </c>
      <c r="J17" s="5">
        <f>IFERROR('316'!$I$24, 0)</f>
        <v>3.0833333333333335</v>
      </c>
      <c r="K17" s="5">
        <f>IFERROR('316'!$J$24, 0)</f>
        <v>7</v>
      </c>
      <c r="L17" s="5">
        <f>IFERROR('316'!$K$24, 0)</f>
        <v>2.466441431158124</v>
      </c>
      <c r="M17" s="5"/>
      <c r="N17" s="48">
        <f>IFERROR('316'!$I$26, 0)</f>
        <v>1</v>
      </c>
      <c r="O17" s="48">
        <f>IFERROR('316'!$I$29, 0)</f>
        <v>0.33333333333333331</v>
      </c>
      <c r="P17" s="48">
        <f>IFERROR('316'!$J$29, 0)</f>
        <v>2</v>
      </c>
      <c r="Q17" s="48">
        <f>IFERROR('316'!$K$29, 0)</f>
        <v>0.6513389472789296</v>
      </c>
      <c r="R17" s="5"/>
      <c r="S17" s="48">
        <f>IFERROR('316'!I31, 0)</f>
        <v>0.8666666666666667</v>
      </c>
      <c r="T17" s="48">
        <f>IFERROR('316'!$I$34, 0)</f>
        <v>1.0833333333333333</v>
      </c>
      <c r="U17" s="48">
        <f>IFERROR('316'!$J$34, 0)</f>
        <v>9</v>
      </c>
      <c r="V17" s="48">
        <f>IFERROR('316'!$K$34, 0)</f>
        <v>2.5746432527221863</v>
      </c>
      <c r="W17" s="5"/>
      <c r="X17" s="48">
        <f>IFERROR('316'!L31, 0)</f>
        <v>0.5</v>
      </c>
      <c r="Y17" s="48">
        <f>IFERROR('316'!L34, 0)</f>
        <v>0.25</v>
      </c>
      <c r="Z17" s="48">
        <f>IFERROR('316'!M34, 0)</f>
        <v>1</v>
      </c>
      <c r="AA17" s="48">
        <f>IFERROR('316'!N34, 0)</f>
        <v>0.5</v>
      </c>
      <c r="AB17" s="5"/>
      <c r="AC17" s="5">
        <f>IFERROR('316'!$N$28, 0)</f>
        <v>0.2808988764044944</v>
      </c>
      <c r="AD17" s="5">
        <f>IFERROR('316'!$N$30, 0)</f>
        <v>0.7191011235955056</v>
      </c>
      <c r="AE17" s="5"/>
      <c r="AF17" s="5">
        <f>IFERROR('316'!$S$22, 0)</f>
        <v>1</v>
      </c>
      <c r="AG17" s="5">
        <f>IFERROR('316'!$U$22, 0)</f>
        <v>1</v>
      </c>
      <c r="AH17" s="5">
        <f>IFERROR('316'!$U$24, 0)</f>
        <v>0</v>
      </c>
      <c r="AI17" s="5">
        <f>IFERROR('316'!$S$24, 0)</f>
        <v>0.66666666666666663</v>
      </c>
      <c r="AJ17" s="5"/>
      <c r="AK17" s="5">
        <f>IFERROR('316'!$G$68, 0)</f>
        <v>5.25</v>
      </c>
      <c r="AN17" s="43">
        <v>203</v>
      </c>
      <c r="AO17">
        <v>56</v>
      </c>
      <c r="AP17" s="43"/>
    </row>
    <row r="18" spans="1:42" x14ac:dyDescent="0.2">
      <c r="A18" s="4">
        <v>321</v>
      </c>
      <c r="B18" s="5">
        <f>IFERROR('321'!$D$20, 0)</f>
        <v>0</v>
      </c>
      <c r="C18" s="5">
        <f>IFERROR('321'!$D$26, 0)</f>
        <v>0</v>
      </c>
      <c r="D18" s="5">
        <f>IFERROR('321'!$D$32, 0)</f>
        <v>0</v>
      </c>
      <c r="E18" s="48">
        <f>IFERROR('321'!$F$20, 0)</f>
        <v>1</v>
      </c>
      <c r="F18" s="48">
        <f>IFERROR('321'!$F$26, 0)</f>
        <v>0.5</v>
      </c>
      <c r="G18" s="48">
        <f>IFERROR('321'!$F$32, 0)</f>
        <v>0</v>
      </c>
      <c r="H18" s="5"/>
      <c r="I18" s="5">
        <f>IFERROR('321'!$I$21, 0)</f>
        <v>0.25</v>
      </c>
      <c r="J18" s="5">
        <f>IFERROR('321'!$I$24, 0)</f>
        <v>8.3333333333333329E-2</v>
      </c>
      <c r="K18" s="5">
        <f>IFERROR('321'!$J$24, 0)</f>
        <v>1</v>
      </c>
      <c r="L18" s="5">
        <f>IFERROR('321'!$K$24, 0)</f>
        <v>0.28867513459481287</v>
      </c>
      <c r="M18" s="5"/>
      <c r="N18" s="48">
        <f>IFERROR('321'!$I$26, 0)</f>
        <v>1</v>
      </c>
      <c r="O18" s="48">
        <f>IFERROR('321'!$I$29, 0)</f>
        <v>0.41666666666666669</v>
      </c>
      <c r="P18" s="48">
        <f>IFERROR('321'!$J$29, 0)</f>
        <v>2</v>
      </c>
      <c r="Q18" s="48">
        <f>IFERROR('321'!$K$29, 0)</f>
        <v>0.66855792342152143</v>
      </c>
      <c r="R18" s="5"/>
      <c r="S18" s="48">
        <f>IFERROR('321'!I31, 0)</f>
        <v>0.96296296296296291</v>
      </c>
      <c r="T18" s="48">
        <f>IFERROR('321'!$I$34, 0)</f>
        <v>4.333333333333333</v>
      </c>
      <c r="U18" s="48">
        <f>IFERROR('321'!$J$34, 0)</f>
        <v>9</v>
      </c>
      <c r="V18" s="48">
        <f>IFERROR('321'!$K$34, 0)</f>
        <v>3.1139957766460915</v>
      </c>
      <c r="W18" s="5"/>
      <c r="X18" s="48">
        <f>IFERROR('321'!L31, 0)</f>
        <v>0.94444444444444442</v>
      </c>
      <c r="Y18" s="48">
        <f>IFERROR('321'!L34, 0)</f>
        <v>4.25</v>
      </c>
      <c r="Z18" s="48">
        <f>IFERROR('321'!M34, 0)</f>
        <v>7</v>
      </c>
      <c r="AA18" s="48">
        <f>IFERROR('321'!N34, 0)</f>
        <v>3.4034296427770228</v>
      </c>
      <c r="AB18" s="5"/>
      <c r="AC18" s="5">
        <f>IFERROR('321'!$N$28, 0)</f>
        <v>4.4117647058823532E-2</v>
      </c>
      <c r="AD18" s="5">
        <f>IFERROR('321'!$N$30, 0)</f>
        <v>0.95588235294117652</v>
      </c>
      <c r="AE18" s="5"/>
      <c r="AF18" s="5">
        <f>IFERROR('321'!$S$22, 0)</f>
        <v>0</v>
      </c>
      <c r="AG18" s="5">
        <f>IFERROR('321'!$U$22, 0)</f>
        <v>0</v>
      </c>
      <c r="AH18" s="5">
        <f>IFERROR('321'!$U$24, 0)</f>
        <v>0</v>
      </c>
      <c r="AI18" s="5">
        <f>IFERROR('321'!$S$24, 0)</f>
        <v>0</v>
      </c>
      <c r="AJ18" s="5"/>
      <c r="AK18" s="5">
        <f>IFERROR('321'!$G$68, 0)</f>
        <v>5.333333333333333</v>
      </c>
      <c r="AN18" s="43">
        <v>1218</v>
      </c>
      <c r="AO18">
        <v>365</v>
      </c>
      <c r="AP18" s="43"/>
    </row>
    <row r="19" spans="1:42" x14ac:dyDescent="0.2">
      <c r="A19" s="4">
        <v>365</v>
      </c>
      <c r="B19" s="5">
        <f>IFERROR('365'!$D$20, 0)</f>
        <v>0.66666666666666663</v>
      </c>
      <c r="C19" s="5">
        <f>IFERROR('365'!$D$26, 0)</f>
        <v>0.66666666666666663</v>
      </c>
      <c r="D19" s="5">
        <f>IFERROR('365'!$D$32, 0)</f>
        <v>1</v>
      </c>
      <c r="E19" s="48">
        <f>IFERROR('365'!$F$20, 0)</f>
        <v>0.75</v>
      </c>
      <c r="F19" s="48">
        <f>IFERROR('365'!$F$26, 0)</f>
        <v>0.41666666666666669</v>
      </c>
      <c r="G19" s="48">
        <f>IFERROR('365'!$F$32, 0)</f>
        <v>0.83333333333333337</v>
      </c>
      <c r="H19" s="5"/>
      <c r="I19" s="5">
        <f>IFERROR('365'!$I$21, 0)</f>
        <v>0.95</v>
      </c>
      <c r="J19" s="5">
        <f>IFERROR('365'!$I$24, 0)</f>
        <v>4.75</v>
      </c>
      <c r="K19" s="5">
        <f>IFERROR('365'!$J$24, 0)</f>
        <v>7</v>
      </c>
      <c r="L19" s="5">
        <f>IFERROR('365'!$K$24, 0)</f>
        <v>2.0056737702645644</v>
      </c>
      <c r="M19" s="5"/>
      <c r="N19" s="48">
        <f>IFERROR('365'!$I$26, 0)</f>
        <v>1</v>
      </c>
      <c r="O19" s="48">
        <f>IFERROR('365'!$I$29, 0)</f>
        <v>0.58333333333333337</v>
      </c>
      <c r="P19" s="48">
        <f>IFERROR('365'!$J$29, 0)</f>
        <v>4</v>
      </c>
      <c r="Q19" s="48">
        <f>IFERROR('365'!$K$29, 0)</f>
        <v>1.164500152881315</v>
      </c>
      <c r="R19" s="5"/>
      <c r="S19" s="48">
        <f>IFERROR('365'!I31, 0)</f>
        <v>1</v>
      </c>
      <c r="T19" s="48">
        <f>IFERROR('365'!$I$34, 0)</f>
        <v>0.25</v>
      </c>
      <c r="U19" s="48">
        <f>IFERROR('365'!$J$34, 0)</f>
        <v>3</v>
      </c>
      <c r="V19" s="48">
        <f>IFERROR('365'!$K$34, 0)</f>
        <v>0.8660254037844386</v>
      </c>
      <c r="W19" s="5"/>
      <c r="X19" s="48">
        <f>IFERROR('365'!L31, 0)</f>
        <v>0</v>
      </c>
      <c r="Y19" s="48">
        <f>IFERROR('365'!L34, 0)</f>
        <v>0</v>
      </c>
      <c r="Z19" s="48">
        <f>IFERROR('365'!M34, 0)</f>
        <v>0</v>
      </c>
      <c r="AA19" s="48">
        <f>IFERROR('365'!N34, 0)</f>
        <v>0</v>
      </c>
      <c r="AB19" s="5"/>
      <c r="AC19" s="5">
        <f>IFERROR('365'!$N$28, 0)</f>
        <v>0.13513513513513514</v>
      </c>
      <c r="AD19" s="5">
        <f>IFERROR('365'!$N$30, 0)</f>
        <v>0.86486486486486491</v>
      </c>
      <c r="AE19" s="5"/>
      <c r="AF19" s="5">
        <f>IFERROR('365'!$S$22, 0)</f>
        <v>0.72727272727272729</v>
      </c>
      <c r="AG19" s="5">
        <f>IFERROR('365'!$U$22, 0)</f>
        <v>0.72727272727272729</v>
      </c>
      <c r="AH19" s="5">
        <f>IFERROR('365'!$U$24, 0)</f>
        <v>0</v>
      </c>
      <c r="AI19" s="5">
        <f>IFERROR('365'!$S$24, 0)</f>
        <v>0.66666666666666663</v>
      </c>
      <c r="AJ19" s="5"/>
      <c r="AK19" s="5">
        <f>IFERROR('365'!$G$68, 0)</f>
        <v>6.666666666666667</v>
      </c>
      <c r="AN19" s="43">
        <v>5401</v>
      </c>
      <c r="AO19">
        <v>222</v>
      </c>
      <c r="AP19" s="43"/>
    </row>
    <row r="20" spans="1:42" x14ac:dyDescent="0.2">
      <c r="A20" s="4">
        <v>433</v>
      </c>
      <c r="B20" s="5">
        <f>IFERROR('433'!$D$20, 0)</f>
        <v>1</v>
      </c>
      <c r="C20" s="5">
        <f>IFERROR('433'!$D$26, 0)</f>
        <v>8.3333333333333329E-2</v>
      </c>
      <c r="D20" s="5">
        <f>IFERROR('433'!$D$32, 0)</f>
        <v>0</v>
      </c>
      <c r="E20" s="48">
        <f>IFERROR('433'!$F$20, 0)</f>
        <v>0.9</v>
      </c>
      <c r="F20" s="48">
        <f>IFERROR('433'!$F$26, 0)</f>
        <v>0.75</v>
      </c>
      <c r="G20" s="48">
        <f>IFERROR('433'!$F$32, 0)</f>
        <v>0</v>
      </c>
      <c r="H20" s="5"/>
      <c r="I20" s="5">
        <f>IFERROR('433'!$I$21, 0)</f>
        <v>0.45454545454545453</v>
      </c>
      <c r="J20" s="5">
        <f>IFERROR('433'!$I$24, 0)</f>
        <v>0.41666666666666669</v>
      </c>
      <c r="K20" s="5">
        <f>IFERROR('433'!$J$24, 0)</f>
        <v>2</v>
      </c>
      <c r="L20" s="5">
        <f>IFERROR('433'!$K$24, 0)</f>
        <v>0.66855792342152143</v>
      </c>
      <c r="M20" s="5"/>
      <c r="N20" s="48">
        <f>IFERROR('433'!$I$26, 0)</f>
        <v>1</v>
      </c>
      <c r="O20" s="48">
        <f>IFERROR('433'!$I$29, 0)</f>
        <v>0.91666666666666663</v>
      </c>
      <c r="P20" s="48">
        <f>IFERROR('433'!$J$29, 0)</f>
        <v>3</v>
      </c>
      <c r="Q20" s="48">
        <f>IFERROR('433'!$K$29, 0)</f>
        <v>0.99620491989562188</v>
      </c>
      <c r="R20" s="5"/>
      <c r="S20" s="48">
        <f>IFERROR('433'!I31, 0)</f>
        <v>1</v>
      </c>
      <c r="T20" s="48">
        <f>IFERROR('433'!$I$34, 0)</f>
        <v>3.5</v>
      </c>
      <c r="U20" s="48">
        <f>IFERROR('433'!$J$34, 0)</f>
        <v>8</v>
      </c>
      <c r="V20" s="48">
        <f>IFERROR('433'!$K$34, 0)</f>
        <v>3.147870853305597</v>
      </c>
      <c r="W20" s="5"/>
      <c r="X20" s="48">
        <f>IFERROR('433'!L31, 0)</f>
        <v>1</v>
      </c>
      <c r="Y20" s="48">
        <f>IFERROR('433'!L34, 0)</f>
        <v>1.6666666666666667</v>
      </c>
      <c r="Z20" s="48">
        <f>IFERROR('433'!M34, 0)</f>
        <v>5</v>
      </c>
      <c r="AA20" s="48">
        <f>IFERROR('433'!N34, 0)</f>
        <v>2.8867513459481287</v>
      </c>
      <c r="AB20" s="5"/>
      <c r="AC20" s="5">
        <f>IFERROR('433'!$N$28, 0)</f>
        <v>8.8888888888888892E-2</v>
      </c>
      <c r="AD20" s="5">
        <f>IFERROR('433'!$N$30, 0)</f>
        <v>0.91111111111111109</v>
      </c>
      <c r="AE20" s="5"/>
      <c r="AF20" s="5">
        <f>IFERROR('433'!$S$22, 0)</f>
        <v>0.5</v>
      </c>
      <c r="AG20" s="5">
        <f>IFERROR('433'!$U$22, 0)</f>
        <v>0.5</v>
      </c>
      <c r="AH20" s="5">
        <f>IFERROR('433'!$U$24, 0)</f>
        <v>0</v>
      </c>
      <c r="AI20" s="5">
        <f>IFERROR('433'!$S$24, 0)</f>
        <v>0.33333333333333331</v>
      </c>
      <c r="AJ20" s="5"/>
      <c r="AK20" s="5">
        <f>IFERROR('433'!$G$68, 0)</f>
        <v>5.666666666666667</v>
      </c>
      <c r="AN20" s="43">
        <v>316</v>
      </c>
      <c r="AO20">
        <v>223</v>
      </c>
      <c r="AP20" s="43"/>
    </row>
    <row r="21" spans="1:42" x14ac:dyDescent="0.2">
      <c r="A21" s="4">
        <v>708</v>
      </c>
      <c r="B21" s="5">
        <f>IFERROR('708'!$D$20, 0)</f>
        <v>0</v>
      </c>
      <c r="C21" s="5">
        <f>IFERROR('708'!$D$26, 0)</f>
        <v>0</v>
      </c>
      <c r="D21" s="5">
        <f>IFERROR('708'!$D$32, 0)</f>
        <v>0</v>
      </c>
      <c r="E21" s="48">
        <f>IFERROR('708'!$F$20, 0)</f>
        <v>0.875</v>
      </c>
      <c r="F21" s="48">
        <f>IFERROR('708'!$F$26, 0)</f>
        <v>1</v>
      </c>
      <c r="G21" s="48">
        <f>IFERROR('708'!$F$32, 0)</f>
        <v>0.8571428571428571</v>
      </c>
      <c r="H21" s="5"/>
      <c r="I21" s="5">
        <f>IFERROR('708'!$I$21, 0)</f>
        <v>1</v>
      </c>
      <c r="J21" s="5">
        <f>IFERROR('708'!$I$24, 0)</f>
        <v>8.3333333333333329E-2</v>
      </c>
      <c r="K21" s="5">
        <f>IFERROR('708'!$J$24, 0)</f>
        <v>1</v>
      </c>
      <c r="L21" s="5">
        <f>IFERROR('708'!$K$24, 0)</f>
        <v>0.28867513459481287</v>
      </c>
      <c r="M21" s="5"/>
      <c r="N21" s="48">
        <f>IFERROR('708'!$I$26, 0)</f>
        <v>0.90909090909090906</v>
      </c>
      <c r="O21" s="48">
        <f>IFERROR('708'!$I$29, 0)</f>
        <v>1.6666666666666667</v>
      </c>
      <c r="P21" s="48">
        <f>IFERROR('708'!$J$29, 0)</f>
        <v>4</v>
      </c>
      <c r="Q21" s="48">
        <f>IFERROR('708'!$K$29, 0)</f>
        <v>1.2309149097933272</v>
      </c>
      <c r="R21" s="5"/>
      <c r="S21" s="48">
        <f>IFERROR('708'!I31, 0)</f>
        <v>0.98571428571428577</v>
      </c>
      <c r="T21" s="48">
        <f>IFERROR('708'!$I$34, 0)</f>
        <v>5.75</v>
      </c>
      <c r="U21" s="48">
        <f>IFERROR('708'!$J$34, 0)</f>
        <v>9</v>
      </c>
      <c r="V21" s="48">
        <f>IFERROR('708'!$K$34, 0)</f>
        <v>2.8001623329566252</v>
      </c>
      <c r="W21" s="5"/>
      <c r="X21" s="48">
        <f>IFERROR('708'!L31, 0)</f>
        <v>0.96551724137931039</v>
      </c>
      <c r="Y21" s="48">
        <f>IFERROR('708'!L34, 0)</f>
        <v>7</v>
      </c>
      <c r="Z21" s="48">
        <f>IFERROR('708'!M34, 0)</f>
        <v>9</v>
      </c>
      <c r="AA21" s="48">
        <f>IFERROR('708'!N34, 0)</f>
        <v>1.4142135623730951</v>
      </c>
      <c r="AB21" s="5"/>
      <c r="AC21" s="5">
        <f>IFERROR('708'!$N$28, 0)</f>
        <v>9.0090090090090089E-3</v>
      </c>
      <c r="AD21" s="5">
        <f>IFERROR('708'!$N$30, 0)</f>
        <v>0.99099099099099097</v>
      </c>
      <c r="AE21" s="5"/>
      <c r="AF21" s="5">
        <f>IFERROR('708'!$S$22, 0)</f>
        <v>0.88888888888888884</v>
      </c>
      <c r="AG21" s="5">
        <f>IFERROR('708'!$U$22, 0)</f>
        <v>0.875</v>
      </c>
      <c r="AH21" s="5">
        <f>IFERROR('708'!$U$24, 0)</f>
        <v>1</v>
      </c>
      <c r="AI21" s="5">
        <f>IFERROR('708'!$S$24, 0)</f>
        <v>0.66666666666666663</v>
      </c>
      <c r="AJ21" s="5"/>
      <c r="AK21" s="5">
        <f>IFERROR('708'!$G$68, 0)</f>
        <v>8.5</v>
      </c>
      <c r="AN21" s="43">
        <v>433</v>
      </c>
      <c r="AO21">
        <v>1168</v>
      </c>
      <c r="AP21" s="43"/>
    </row>
    <row r="22" spans="1:42" x14ac:dyDescent="0.2">
      <c r="A22" s="4">
        <v>747</v>
      </c>
      <c r="B22" s="5">
        <f>IFERROR('747'!$D$20, 0)</f>
        <v>0</v>
      </c>
      <c r="C22" s="5">
        <f>IFERROR('747'!$D$26, 0)</f>
        <v>0</v>
      </c>
      <c r="D22" s="5">
        <f>IFERROR('747'!$D$32, 0)</f>
        <v>0</v>
      </c>
      <c r="E22" s="48">
        <f>IFERROR('747'!$F$20, 0)</f>
        <v>1</v>
      </c>
      <c r="F22" s="48">
        <f>IFERROR('747'!$F$26, 0)</f>
        <v>0.75</v>
      </c>
      <c r="G22" s="48">
        <f>IFERROR('747'!$F$32, 0)</f>
        <v>0.5</v>
      </c>
      <c r="H22" s="5"/>
      <c r="I22" s="5">
        <f>IFERROR('747'!$I$21, 0)</f>
        <v>0</v>
      </c>
      <c r="J22" s="5">
        <f>IFERROR('747'!$I$24, 0)</f>
        <v>0</v>
      </c>
      <c r="K22" s="5">
        <f>IFERROR('747'!$J$24, 0)</f>
        <v>0</v>
      </c>
      <c r="L22" s="5">
        <f>IFERROR('747'!$K$24, 0)</f>
        <v>0</v>
      </c>
      <c r="M22" s="5"/>
      <c r="N22" s="48">
        <f>IFERROR('747'!$I$26, 0)</f>
        <v>1</v>
      </c>
      <c r="O22" s="48">
        <f>IFERROR('747'!$I$29, 0)</f>
        <v>2</v>
      </c>
      <c r="P22" s="48">
        <f>IFERROR('747'!$J$29, 0)</f>
        <v>6</v>
      </c>
      <c r="Q22" s="48">
        <f>IFERROR('747'!$K$29, 0)</f>
        <v>1.7580981459830651</v>
      </c>
      <c r="R22" s="5"/>
      <c r="S22" s="48">
        <f>IFERROR('747'!I31, 0)</f>
        <v>0.97560975609756095</v>
      </c>
      <c r="T22" s="48">
        <f>IFERROR('747'!$I$34, 0)</f>
        <v>6.666666666666667</v>
      </c>
      <c r="U22" s="48">
        <f>IFERROR('747'!$J$34, 0)</f>
        <v>9</v>
      </c>
      <c r="V22" s="48">
        <f>IFERROR('747'!$K$34, 0)</f>
        <v>3.2844906435973877</v>
      </c>
      <c r="W22" s="5"/>
      <c r="X22" s="48">
        <f>IFERROR('747'!L31, 0)</f>
        <v>0.94285714285714284</v>
      </c>
      <c r="Y22" s="48">
        <f>IFERROR('747'!L34, 0)</f>
        <v>8.25</v>
      </c>
      <c r="Z22" s="48">
        <f>IFERROR('747'!M34, 0)</f>
        <v>9</v>
      </c>
      <c r="AA22" s="48">
        <f>IFERROR('747'!N34, 0)</f>
        <v>0.5</v>
      </c>
      <c r="AB22" s="5"/>
      <c r="AC22" s="5">
        <f>IFERROR('747'!$N$28, 0)</f>
        <v>2.7272727272727271E-2</v>
      </c>
      <c r="AD22" s="5">
        <f>IFERROR('747'!$N$30, 0)</f>
        <v>0.97272727272727277</v>
      </c>
      <c r="AE22" s="5"/>
      <c r="AF22" s="5">
        <f>IFERROR('747'!$S$22, 0)</f>
        <v>1</v>
      </c>
      <c r="AG22" s="5">
        <f>IFERROR('747'!$U$22, 0)</f>
        <v>0</v>
      </c>
      <c r="AH22" s="5">
        <f>IFERROR('747'!$U$24, 0)</f>
        <v>1</v>
      </c>
      <c r="AI22" s="5">
        <f>IFERROR('747'!$S$24, 0)</f>
        <v>0.25</v>
      </c>
      <c r="AJ22" s="5"/>
      <c r="AK22" s="5">
        <f>IFERROR('747'!$G$68, 0)</f>
        <v>9.4166666666666661</v>
      </c>
      <c r="AN22" s="43">
        <v>223</v>
      </c>
      <c r="AO22">
        <v>708</v>
      </c>
      <c r="AP22" s="43"/>
    </row>
    <row r="23" spans="1:42" x14ac:dyDescent="0.2">
      <c r="A23" s="4">
        <v>834</v>
      </c>
      <c r="B23" s="5">
        <f>IFERROR('834'!$D$20, 0)</f>
        <v>0</v>
      </c>
      <c r="C23" s="5">
        <f>IFERROR('834'!$D$26, 0)</f>
        <v>0</v>
      </c>
      <c r="D23" s="5">
        <f>IFERROR('834'!$D$32, 0)</f>
        <v>0</v>
      </c>
      <c r="E23" s="48">
        <f>IFERROR('834'!$F$20, 0)</f>
        <v>0.66666666666666663</v>
      </c>
      <c r="F23" s="48">
        <f>IFERROR('834'!$F$26, 0)</f>
        <v>0.16666666666666666</v>
      </c>
      <c r="G23" s="48">
        <f>IFERROR('834'!$F$32, 0)</f>
        <v>0</v>
      </c>
      <c r="H23" s="5"/>
      <c r="I23" s="5">
        <f>IFERROR('834'!$I$21, 0)</f>
        <v>0.92156862745098034</v>
      </c>
      <c r="J23" s="5">
        <f>IFERROR('834'!$I$24, 0)</f>
        <v>3.9166666666666665</v>
      </c>
      <c r="K23" s="5">
        <f>IFERROR('834'!$J$24, 0)</f>
        <v>7</v>
      </c>
      <c r="L23" s="5">
        <f>IFERROR('834'!$K$24, 0)</f>
        <v>1.6764862244009222</v>
      </c>
      <c r="M23" s="5"/>
      <c r="N23" s="48">
        <f>IFERROR('834'!$I$26, 0)</f>
        <v>1</v>
      </c>
      <c r="O23" s="48">
        <f>IFERROR('834'!$I$29, 0)</f>
        <v>0.33333333333333331</v>
      </c>
      <c r="P23" s="48">
        <f>IFERROR('834'!$J$29, 0)</f>
        <v>2</v>
      </c>
      <c r="Q23" s="48">
        <f>IFERROR('834'!$K$29, 0)</f>
        <v>0.6513389472789296</v>
      </c>
      <c r="R23" s="5"/>
      <c r="S23" s="48">
        <f>IFERROR('834'!I31, 0)</f>
        <v>0</v>
      </c>
      <c r="T23" s="48">
        <f>IFERROR('834'!$I$34, 0)</f>
        <v>0</v>
      </c>
      <c r="U23" s="48">
        <f>IFERROR('834'!$J$34, 0)</f>
        <v>0</v>
      </c>
      <c r="V23" s="48">
        <f>IFERROR('834'!$K$34, 0)</f>
        <v>0</v>
      </c>
      <c r="W23" s="5"/>
      <c r="X23" s="48">
        <f>IFERROR('834'!L31, 0)</f>
        <v>0</v>
      </c>
      <c r="Y23" s="48">
        <f>IFERROR('834'!L34, 0)</f>
        <v>0</v>
      </c>
      <c r="Z23" s="48">
        <f>IFERROR('834'!M34, 0)</f>
        <v>0</v>
      </c>
      <c r="AA23" s="48">
        <f>IFERROR('834'!N34, 0)</f>
        <v>0</v>
      </c>
      <c r="AB23" s="5"/>
      <c r="AC23" s="5">
        <f>IFERROR('834'!$N$28, 0)</f>
        <v>0.20634920634920634</v>
      </c>
      <c r="AD23" s="5">
        <f>IFERROR('834'!$N$30, 0)</f>
        <v>0.79365079365079361</v>
      </c>
      <c r="AE23" s="5"/>
      <c r="AF23" s="5">
        <f>IFERROR('834'!$S$22, 0)</f>
        <v>0.66666666666666663</v>
      </c>
      <c r="AG23" s="5">
        <f>IFERROR('834'!$U$22, 0)</f>
        <v>0.66666666666666663</v>
      </c>
      <c r="AH23" s="5">
        <f>IFERROR('834'!$U$24, 0)</f>
        <v>0</v>
      </c>
      <c r="AI23" s="5">
        <f>IFERROR('834'!$S$24, 0)</f>
        <v>0.5</v>
      </c>
      <c r="AJ23" s="5"/>
      <c r="AK23" s="5">
        <f>IFERROR('834'!$G$68, 0)</f>
        <v>4.416666666666667</v>
      </c>
      <c r="AN23" s="43">
        <v>1712</v>
      </c>
      <c r="AO23">
        <v>4342</v>
      </c>
      <c r="AP23" s="43"/>
    </row>
    <row r="24" spans="1:42" x14ac:dyDescent="0.2">
      <c r="A24" s="4">
        <v>1089</v>
      </c>
      <c r="B24" s="5">
        <f>IFERROR('1089'!$D$20, 0)</f>
        <v>0.42857142857142855</v>
      </c>
      <c r="C24" s="5">
        <f>IFERROR('1089'!$D$26, 0)</f>
        <v>0.25</v>
      </c>
      <c r="D24" s="5">
        <f>IFERROR('1089'!$D$32, 0)</f>
        <v>0</v>
      </c>
      <c r="E24" s="48">
        <f>IFERROR('1089'!$F$20, 0)</f>
        <v>0.5</v>
      </c>
      <c r="F24" s="48">
        <f>IFERROR('1089'!$F$26, 0)</f>
        <v>8.3333333333333329E-2</v>
      </c>
      <c r="G24" s="48">
        <f>IFERROR('1089'!$F$32, 0)</f>
        <v>0</v>
      </c>
      <c r="H24" s="5"/>
      <c r="I24" s="5">
        <f>IFERROR('1089'!$I$21, 0)</f>
        <v>0.81132075471698117</v>
      </c>
      <c r="J24" s="5">
        <f>IFERROR('1089'!$I$24, 0)</f>
        <v>3.5833333333333335</v>
      </c>
      <c r="K24" s="5">
        <f>IFERROR('1089'!$J$24, 0)</f>
        <v>7</v>
      </c>
      <c r="L24" s="5">
        <f>IFERROR('1089'!$K$24, 0)</f>
        <v>2.1514618004482156</v>
      </c>
      <c r="M24" s="5"/>
      <c r="N24" s="48">
        <f>IFERROR('1089'!$I$26, 0)</f>
        <v>1</v>
      </c>
      <c r="O24" s="48">
        <f>IFERROR('1089'!$I$29, 0)</f>
        <v>0.66666666666666663</v>
      </c>
      <c r="P24" s="48">
        <f>IFERROR('1089'!$J$29, 0)</f>
        <v>3</v>
      </c>
      <c r="Q24" s="48">
        <f>IFERROR('1089'!$K$29, 0)</f>
        <v>1.0730867399773196</v>
      </c>
      <c r="R24" s="5"/>
      <c r="S24" s="48">
        <f>IFERROR('1089'!I31, 0)</f>
        <v>0.9375</v>
      </c>
      <c r="T24" s="48">
        <f>IFERROR('1089'!$I$34, 0)</f>
        <v>1.25</v>
      </c>
      <c r="U24" s="48">
        <f>IFERROR('1089'!$J$34, 0)</f>
        <v>6</v>
      </c>
      <c r="V24" s="48">
        <f>IFERROR('1089'!$K$34, 0)</f>
        <v>2.3788843832962772</v>
      </c>
      <c r="W24" s="5"/>
      <c r="X24" s="48">
        <f>IFERROR('1089'!L31, 0)</f>
        <v>1</v>
      </c>
      <c r="Y24" s="48">
        <f>IFERROR('1089'!L34, 0)</f>
        <v>1.5</v>
      </c>
      <c r="Z24" s="48">
        <f>IFERROR('1089'!M34, 0)</f>
        <v>6</v>
      </c>
      <c r="AA24" s="48">
        <f>IFERROR('1089'!N34, 0)</f>
        <v>3</v>
      </c>
      <c r="AB24" s="5"/>
      <c r="AC24" s="5">
        <f>IFERROR('1089'!$N$28, 0)</f>
        <v>8.4507042253521125E-2</v>
      </c>
      <c r="AD24" s="5">
        <f>IFERROR('1089'!$N$30, 0)</f>
        <v>0.91549295774647887</v>
      </c>
      <c r="AE24" s="5"/>
      <c r="AF24" s="5">
        <f>IFERROR('1089'!$S$22, 0)</f>
        <v>0.66666666666666663</v>
      </c>
      <c r="AG24" s="5">
        <f>IFERROR('1089'!$U$22, 0)</f>
        <v>0.6</v>
      </c>
      <c r="AH24" s="5">
        <f>IFERROR('1089'!$U$24, 0)</f>
        <v>1</v>
      </c>
      <c r="AI24" s="5">
        <f>IFERROR('1089'!$S$24, 0)</f>
        <v>0.33333333333333331</v>
      </c>
      <c r="AJ24" s="5"/>
      <c r="AK24" s="5">
        <f>IFERROR('1089'!$G$68, 0)</f>
        <v>5.833333333333333</v>
      </c>
      <c r="AN24" s="43">
        <v>4342</v>
      </c>
      <c r="AO24">
        <v>2607</v>
      </c>
      <c r="AP24" s="43"/>
    </row>
    <row r="25" spans="1:42" x14ac:dyDescent="0.2">
      <c r="A25" s="4">
        <v>1143</v>
      </c>
      <c r="B25" s="5">
        <f>IFERROR('1143'!$D$20, 0)</f>
        <v>0</v>
      </c>
      <c r="C25" s="5">
        <f>IFERROR('1143'!$D$26, 0)</f>
        <v>0</v>
      </c>
      <c r="D25" s="5">
        <f>IFERROR('1143'!$D$32, 0)</f>
        <v>0</v>
      </c>
      <c r="E25" s="48">
        <f>IFERROR('1143'!$F$20, 0)</f>
        <v>1</v>
      </c>
      <c r="F25" s="48">
        <f>IFERROR('1143'!$F$26, 0)</f>
        <v>0.16666666666666666</v>
      </c>
      <c r="G25" s="48">
        <f>IFERROR('1143'!$F$32, 0)</f>
        <v>0</v>
      </c>
      <c r="H25" s="5"/>
      <c r="I25" s="5">
        <f>IFERROR('1143'!$I$21, 0)</f>
        <v>0.91666666666666663</v>
      </c>
      <c r="J25" s="5">
        <f>IFERROR('1143'!$I$24, 0)</f>
        <v>0.91666666666666663</v>
      </c>
      <c r="K25" s="5">
        <f>IFERROR('1143'!$J$24, 0)</f>
        <v>4</v>
      </c>
      <c r="L25" s="5">
        <f>IFERROR('1143'!$K$24, 0)</f>
        <v>1.4433756729740643</v>
      </c>
      <c r="M25" s="5"/>
      <c r="N25" s="48">
        <f>IFERROR('1143'!$I$26, 0)</f>
        <v>0.9285714285714286</v>
      </c>
      <c r="O25" s="48">
        <f>IFERROR('1143'!$I$29, 0)</f>
        <v>1.0833333333333333</v>
      </c>
      <c r="P25" s="48">
        <f>IFERROR('1143'!$J$29, 0)</f>
        <v>3</v>
      </c>
      <c r="Q25" s="48">
        <f>IFERROR('1143'!$K$29, 0)</f>
        <v>0.99620491989562188</v>
      </c>
      <c r="R25" s="5"/>
      <c r="S25" s="48">
        <f>IFERROR('1143'!I31, 0)</f>
        <v>1</v>
      </c>
      <c r="T25" s="48">
        <f>IFERROR('1143'!$I$34, 0)</f>
        <v>4.5</v>
      </c>
      <c r="U25" s="48">
        <f>IFERROR('1143'!$J$34, 0)</f>
        <v>9</v>
      </c>
      <c r="V25" s="48">
        <f>IFERROR('1143'!$K$34, 0)</f>
        <v>3.6055512754639891</v>
      </c>
      <c r="W25" s="5"/>
      <c r="X25" s="48">
        <f>IFERROR('1143'!L31, 0)</f>
        <v>1</v>
      </c>
      <c r="Y25" s="48">
        <f>IFERROR('1143'!L34, 0)</f>
        <v>5.75</v>
      </c>
      <c r="Z25" s="48">
        <f>IFERROR('1143'!M34, 0)</f>
        <v>9</v>
      </c>
      <c r="AA25" s="48">
        <f>IFERROR('1143'!N34, 0)</f>
        <v>4.2720018726587652</v>
      </c>
      <c r="AB25" s="5"/>
      <c r="AC25" s="5">
        <f>IFERROR('1143'!$N$28, 0)</f>
        <v>1.3157894736842105E-2</v>
      </c>
      <c r="AD25" s="5">
        <f>IFERROR('1143'!$N$30, 0)</f>
        <v>0.98684210526315785</v>
      </c>
      <c r="AE25" s="5"/>
      <c r="AF25" s="5">
        <f>IFERROR('1143'!$S$22, 0)</f>
        <v>0.66666666666666663</v>
      </c>
      <c r="AG25" s="5">
        <f>IFERROR('1143'!$U$22, 0)</f>
        <v>0.66666666666666663</v>
      </c>
      <c r="AH25" s="5">
        <f>IFERROR('1143'!$U$24, 0)</f>
        <v>0</v>
      </c>
      <c r="AI25" s="5">
        <f>IFERROR('1143'!$S$24, 0)</f>
        <v>0.16666666666666666</v>
      </c>
      <c r="AJ25" s="5"/>
      <c r="AK25" s="5">
        <f>IFERROR('1143'!$G$68, 0)</f>
        <v>6.666666666666667</v>
      </c>
      <c r="AN25" s="43">
        <v>103</v>
      </c>
      <c r="AO25">
        <v>25</v>
      </c>
      <c r="AP25" s="43"/>
    </row>
    <row r="26" spans="1:42" x14ac:dyDescent="0.2">
      <c r="A26" s="4">
        <v>1218</v>
      </c>
      <c r="B26" s="5">
        <f>IFERROR('1218'!$D$20, 0)</f>
        <v>0.5</v>
      </c>
      <c r="C26" s="5">
        <f>IFERROR('1218'!$D$26, 0)</f>
        <v>8.3333333333333329E-2</v>
      </c>
      <c r="D26" s="5">
        <f>IFERROR('1218'!$D$32, 0)</f>
        <v>0</v>
      </c>
      <c r="E26" s="48">
        <f>IFERROR('1218'!$F$20, 0)</f>
        <v>0.8571428571428571</v>
      </c>
      <c r="F26" s="48">
        <f>IFERROR('1218'!$F$26, 0)</f>
        <v>0.5</v>
      </c>
      <c r="G26" s="48">
        <f>IFERROR('1218'!$F$32, 0)</f>
        <v>0</v>
      </c>
      <c r="H26" s="5"/>
      <c r="I26" s="5">
        <f>IFERROR('1218'!$I$21, 0)</f>
        <v>0.93548387096774188</v>
      </c>
      <c r="J26" s="5">
        <f>IFERROR('1218'!$I$24, 0)</f>
        <v>2.4166666666666665</v>
      </c>
      <c r="K26" s="5">
        <f>IFERROR('1218'!$J$24, 0)</f>
        <v>4</v>
      </c>
      <c r="L26" s="5">
        <f>IFERROR('1218'!$K$24, 0)</f>
        <v>1.5642792899510296</v>
      </c>
      <c r="M26" s="5"/>
      <c r="N26" s="48">
        <f>IFERROR('1218'!$I$26, 0)</f>
        <v>1</v>
      </c>
      <c r="O26" s="48">
        <f>IFERROR('1218'!$I$29, 0)</f>
        <v>1.25</v>
      </c>
      <c r="P26" s="48">
        <f>IFERROR('1218'!$J$29, 0)</f>
        <v>5</v>
      </c>
      <c r="Q26" s="48">
        <f>IFERROR('1218'!$K$29, 0)</f>
        <v>1.5447859516333116</v>
      </c>
      <c r="R26" s="5"/>
      <c r="S26" s="48">
        <f>IFERROR('1218'!I31, 0)</f>
        <v>0.93103448275862066</v>
      </c>
      <c r="T26" s="48">
        <f>IFERROR('1218'!$I$34, 0)</f>
        <v>2.25</v>
      </c>
      <c r="U26" s="48">
        <f>IFERROR('1218'!$J$34, 0)</f>
        <v>9</v>
      </c>
      <c r="V26" s="48">
        <f>IFERROR('1218'!$K$34, 0)</f>
        <v>3.1658691180665182</v>
      </c>
      <c r="W26" s="5"/>
      <c r="X26" s="48">
        <f>IFERROR('1218'!L31, 0)</f>
        <v>0.81818181818181823</v>
      </c>
      <c r="Y26" s="48">
        <f>IFERROR('1218'!L34, 0)</f>
        <v>2.25</v>
      </c>
      <c r="Z26" s="48">
        <f>IFERROR('1218'!M34, 0)</f>
        <v>6</v>
      </c>
      <c r="AA26" s="48">
        <f>IFERROR('1218'!N34, 0)</f>
        <v>2.8722813232690143</v>
      </c>
      <c r="AB26" s="5"/>
      <c r="AC26" s="5">
        <f>IFERROR('1218'!$N$28, 0)</f>
        <v>5.8139534883720929E-2</v>
      </c>
      <c r="AD26" s="5">
        <f>IFERROR('1218'!$N$30, 0)</f>
        <v>0.94186046511627908</v>
      </c>
      <c r="AE26" s="5"/>
      <c r="AF26" s="5">
        <f>IFERROR('1218'!$S$22, 0)</f>
        <v>0.625</v>
      </c>
      <c r="AG26" s="5">
        <f>IFERROR('1218'!$U$22, 0)</f>
        <v>0.625</v>
      </c>
      <c r="AH26" s="5">
        <f>IFERROR('1218'!$U$24, 0)</f>
        <v>0</v>
      </c>
      <c r="AI26" s="5">
        <f>IFERROR('1218'!$S$24, 0)</f>
        <v>0.41666666666666669</v>
      </c>
      <c r="AJ26" s="5"/>
      <c r="AK26" s="5">
        <f>IFERROR('1218'!$G$68, 0)</f>
        <v>6.5</v>
      </c>
      <c r="AN26" s="43">
        <v>25</v>
      </c>
      <c r="AO26">
        <v>5895</v>
      </c>
      <c r="AP26" s="43"/>
    </row>
    <row r="27" spans="1:42" x14ac:dyDescent="0.2">
      <c r="A27" s="4">
        <v>1257</v>
      </c>
      <c r="B27" s="5">
        <f>IFERROR('1257'!$D$20, 0)</f>
        <v>0</v>
      </c>
      <c r="C27" s="5">
        <f>IFERROR('1257'!$D$26, 0)</f>
        <v>0</v>
      </c>
      <c r="D27" s="5">
        <f>IFERROR('1257'!$D$32, 0)</f>
        <v>0</v>
      </c>
      <c r="E27" s="48">
        <f>IFERROR('1257'!$F$20, 0)</f>
        <v>0.6</v>
      </c>
      <c r="F27" s="48">
        <f>IFERROR('1257'!$F$26, 0)</f>
        <v>0.25</v>
      </c>
      <c r="G27" s="48">
        <f>IFERROR('1257'!$F$32, 0)</f>
        <v>0</v>
      </c>
      <c r="H27" s="5"/>
      <c r="I27" s="5">
        <f>IFERROR('1257'!$I$21, 0)</f>
        <v>0.88</v>
      </c>
      <c r="J27" s="5">
        <f>IFERROR('1257'!$I$24, 0)</f>
        <v>1.8333333333333333</v>
      </c>
      <c r="K27" s="5">
        <f>IFERROR('1257'!$J$24, 0)</f>
        <v>5</v>
      </c>
      <c r="L27" s="5">
        <f>IFERROR('1257'!$K$24, 0)</f>
        <v>1.80067327475704</v>
      </c>
      <c r="M27" s="5"/>
      <c r="N27" s="48">
        <f>IFERROR('1257'!$I$26, 0)</f>
        <v>0.88888888888888884</v>
      </c>
      <c r="O27" s="48">
        <f>IFERROR('1257'!$I$29, 0)</f>
        <v>0.66666666666666663</v>
      </c>
      <c r="P27" s="48">
        <f>IFERROR('1257'!$J$29, 0)</f>
        <v>3</v>
      </c>
      <c r="Q27" s="48">
        <f>IFERROR('1257'!$K$29, 0)</f>
        <v>0.9847319278346619</v>
      </c>
      <c r="R27" s="5"/>
      <c r="S27" s="48">
        <f>IFERROR('1257'!I31, 0)</f>
        <v>1</v>
      </c>
      <c r="T27" s="48">
        <f>IFERROR('1257'!$I$34, 0)</f>
        <v>2.3333333333333335</v>
      </c>
      <c r="U27" s="48">
        <f>IFERROR('1257'!$J$34, 0)</f>
        <v>7</v>
      </c>
      <c r="V27" s="48">
        <f>IFERROR('1257'!$K$34, 0)</f>
        <v>2.5702257889260638</v>
      </c>
      <c r="W27" s="5"/>
      <c r="X27" s="48">
        <f>IFERROR('1257'!L31, 0)</f>
        <v>1</v>
      </c>
      <c r="Y27" s="48">
        <f>IFERROR('1257'!L34, 0)</f>
        <v>3</v>
      </c>
      <c r="Z27" s="48">
        <f>IFERROR('1257'!M34, 0)</f>
        <v>7</v>
      </c>
      <c r="AA27" s="48">
        <f>IFERROR('1257'!N34, 0)</f>
        <v>3.1622776601683795</v>
      </c>
      <c r="AB27" s="5"/>
      <c r="AC27" s="5">
        <f>IFERROR('1257'!$N$28, 0)</f>
        <v>4.9180327868852458E-2</v>
      </c>
      <c r="AD27" s="5">
        <f>IFERROR('1257'!$N$30, 0)</f>
        <v>0.95081967213114749</v>
      </c>
      <c r="AE27" s="5"/>
      <c r="AF27" s="5">
        <f>IFERROR('1257'!$S$22, 0)</f>
        <v>1</v>
      </c>
      <c r="AG27" s="5">
        <f>IFERROR('1257'!$U$22, 0)</f>
        <v>0</v>
      </c>
      <c r="AH27" s="5">
        <f>IFERROR('1257'!$U$24, 0)</f>
        <v>1</v>
      </c>
      <c r="AI27" s="5">
        <f>IFERROR('1257'!$S$24, 0)</f>
        <v>8.3333333333333329E-2</v>
      </c>
      <c r="AJ27" s="5"/>
      <c r="AK27" s="5">
        <f>IFERROR('1257'!$G$68, 0)</f>
        <v>5.083333333333333</v>
      </c>
      <c r="AN27" s="43">
        <v>272</v>
      </c>
      <c r="AO27">
        <v>5401</v>
      </c>
      <c r="AP27" s="43"/>
    </row>
    <row r="28" spans="1:42" x14ac:dyDescent="0.2">
      <c r="A28" s="4">
        <v>1391</v>
      </c>
      <c r="B28" s="5">
        <f>IFERROR('1391'!$D$20, 0)</f>
        <v>0.2</v>
      </c>
      <c r="C28" s="5">
        <f>IFERROR('1391'!$D$26, 0)</f>
        <v>8.3333333333333329E-2</v>
      </c>
      <c r="D28" s="5">
        <f>IFERROR('1391'!$D$32, 0)</f>
        <v>0</v>
      </c>
      <c r="E28" s="48">
        <f>IFERROR('1391'!$F$20, 0)</f>
        <v>1</v>
      </c>
      <c r="F28" s="48">
        <f>IFERROR('1391'!$F$26, 0)</f>
        <v>0.5</v>
      </c>
      <c r="G28" s="48">
        <f>IFERROR('1391'!$F$32, 0)</f>
        <v>0</v>
      </c>
      <c r="H28" s="5"/>
      <c r="I28" s="5">
        <f>IFERROR('1391'!$I$21, 0)</f>
        <v>0.89473684210526316</v>
      </c>
      <c r="J28" s="5">
        <f>IFERROR('1391'!$I$24, 0)</f>
        <v>2.8333333333333335</v>
      </c>
      <c r="K28" s="5">
        <f>IFERROR('1391'!$J$24, 0)</f>
        <v>5</v>
      </c>
      <c r="L28" s="5">
        <f>IFERROR('1391'!$K$24, 0)</f>
        <v>1.6966991126265962</v>
      </c>
      <c r="M28" s="5"/>
      <c r="N28" s="48">
        <f>IFERROR('1391'!$I$26, 0)</f>
        <v>1</v>
      </c>
      <c r="O28" s="48">
        <f>IFERROR('1391'!$I$29, 0)</f>
        <v>0.66666666666666663</v>
      </c>
      <c r="P28" s="48">
        <f>IFERROR('1391'!$J$29, 0)</f>
        <v>3</v>
      </c>
      <c r="Q28" s="48">
        <f>IFERROR('1391'!$K$29, 0)</f>
        <v>0.9847319278346619</v>
      </c>
      <c r="R28" s="5"/>
      <c r="S28" s="48">
        <f>IFERROR('1391'!I31, 0)</f>
        <v>1</v>
      </c>
      <c r="T28" s="48">
        <f>IFERROR('1391'!$I$34, 0)</f>
        <v>0.33333333333333331</v>
      </c>
      <c r="U28" s="48">
        <f>IFERROR('1391'!$J$34, 0)</f>
        <v>2</v>
      </c>
      <c r="V28" s="48">
        <f>IFERROR('1391'!$K$34, 0)</f>
        <v>0.6513389472789296</v>
      </c>
      <c r="W28" s="5"/>
      <c r="X28" s="48">
        <f>IFERROR('1391'!L31, 0)</f>
        <v>0</v>
      </c>
      <c r="Y28" s="48">
        <f>IFERROR('1391'!L34, 0)</f>
        <v>0</v>
      </c>
      <c r="Z28" s="48">
        <f>IFERROR('1391'!M34, 0)</f>
        <v>0</v>
      </c>
      <c r="AA28" s="48">
        <f>IFERROR('1391'!N34, 0)</f>
        <v>0</v>
      </c>
      <c r="AB28" s="5"/>
      <c r="AC28" s="5">
        <f>IFERROR('1391'!$N$28, 0)</f>
        <v>0.30985915492957744</v>
      </c>
      <c r="AD28" s="5">
        <f>IFERROR('1391'!$N$30, 0)</f>
        <v>0.6901408450704225</v>
      </c>
      <c r="AE28" s="5"/>
      <c r="AF28" s="5">
        <f>IFERROR('1391'!$S$22, 0)</f>
        <v>1</v>
      </c>
      <c r="AG28" s="5">
        <f>IFERROR('1391'!$U$22, 0)</f>
        <v>1</v>
      </c>
      <c r="AH28" s="5">
        <f>IFERROR('1391'!$U$24, 0)</f>
        <v>0</v>
      </c>
      <c r="AI28" s="5">
        <f>IFERROR('1391'!$S$24, 0)</f>
        <v>0.83333333333333337</v>
      </c>
      <c r="AJ28" s="5"/>
      <c r="AK28" s="5">
        <f>IFERROR('1391'!$G$68, 0)</f>
        <v>4.416666666666667</v>
      </c>
      <c r="AN28" s="31">
        <v>1257</v>
      </c>
      <c r="AO28">
        <v>303</v>
      </c>
      <c r="AP28" s="43"/>
    </row>
    <row r="29" spans="1:42" x14ac:dyDescent="0.2">
      <c r="A29" s="4">
        <v>1403</v>
      </c>
      <c r="B29" s="5">
        <f>IFERROR('1403'!$D$20, 0)</f>
        <v>0</v>
      </c>
      <c r="C29" s="5">
        <f>IFERROR('1403'!$D$26, 0)</f>
        <v>0</v>
      </c>
      <c r="D29" s="5">
        <f>IFERROR('1403'!$D$32, 0)</f>
        <v>0</v>
      </c>
      <c r="E29" s="48">
        <f>IFERROR('1403'!$F$20, 0)</f>
        <v>0.88888888888888884</v>
      </c>
      <c r="F29" s="48">
        <f>IFERROR('1403'!$F$26, 0)</f>
        <v>0.66666666666666663</v>
      </c>
      <c r="G29" s="48">
        <f>IFERROR('1403'!$F$32, 0)</f>
        <v>0</v>
      </c>
      <c r="H29" s="5"/>
      <c r="I29" s="5">
        <f>IFERROR('1403'!$I$21, 0)</f>
        <v>0.66666666666666663</v>
      </c>
      <c r="J29" s="5">
        <f>IFERROR('1403'!$I$24, 0)</f>
        <v>0.16666666666666666</v>
      </c>
      <c r="K29" s="5">
        <f>IFERROR('1403'!$J$24, 0)</f>
        <v>2</v>
      </c>
      <c r="L29" s="5">
        <f>IFERROR('1403'!$K$24, 0)</f>
        <v>0.57735026918962573</v>
      </c>
      <c r="M29" s="5"/>
      <c r="N29" s="48">
        <f>IFERROR('1403'!$I$26, 0)</f>
        <v>0.94736842105263153</v>
      </c>
      <c r="O29" s="48">
        <f>IFERROR('1403'!$I$29, 0)</f>
        <v>1.5</v>
      </c>
      <c r="P29" s="48">
        <f>IFERROR('1403'!$J$29, 0)</f>
        <v>5</v>
      </c>
      <c r="Q29" s="48">
        <f>IFERROR('1403'!$K$29, 0)</f>
        <v>1.4459976109624424</v>
      </c>
      <c r="R29" s="5"/>
      <c r="S29" s="48">
        <f>IFERROR('1403'!I31, 0)</f>
        <v>1</v>
      </c>
      <c r="T29" s="48">
        <f>IFERROR('1403'!$I$34, 0)</f>
        <v>4.083333333333333</v>
      </c>
      <c r="U29" s="48">
        <f>IFERROR('1403'!$J$34, 0)</f>
        <v>9</v>
      </c>
      <c r="V29" s="48">
        <f>IFERROR('1403'!$K$34, 0)</f>
        <v>3.8720051965905524</v>
      </c>
      <c r="W29" s="5"/>
      <c r="X29" s="48">
        <f>IFERROR('1403'!L31, 0)</f>
        <v>1</v>
      </c>
      <c r="Y29" s="48">
        <f>IFERROR('1403'!L34, 0)</f>
        <v>6.75</v>
      </c>
      <c r="Z29" s="48">
        <f>IFERROR('1403'!M34, 0)</f>
        <v>8</v>
      </c>
      <c r="AA29" s="48">
        <f>IFERROR('1403'!N34, 0)</f>
        <v>1.2583057392117916</v>
      </c>
      <c r="AB29" s="5"/>
      <c r="AC29" s="5">
        <f>IFERROR('1403'!$N$28, 0)</f>
        <v>2.2727272727272728E-2</v>
      </c>
      <c r="AD29" s="5">
        <f>IFERROR('1403'!$N$30, 0)</f>
        <v>0.97727272727272729</v>
      </c>
      <c r="AE29" s="5"/>
      <c r="AF29" s="5">
        <f>IFERROR('1403'!$S$22, 0)</f>
        <v>0.5</v>
      </c>
      <c r="AG29" s="5">
        <f>IFERROR('1403'!$U$22, 0)</f>
        <v>1</v>
      </c>
      <c r="AH29" s="5">
        <f>IFERROR('1403'!$U$24, 0)</f>
        <v>0</v>
      </c>
      <c r="AI29" s="5">
        <f>IFERROR('1403'!$S$24, 0)</f>
        <v>8.3333333333333329E-2</v>
      </c>
      <c r="AJ29" s="5"/>
      <c r="AK29" s="5">
        <f>IFERROR('1403'!$G$68, 0)</f>
        <v>6.416666666666667</v>
      </c>
      <c r="AN29" s="43">
        <v>1989</v>
      </c>
      <c r="AO29">
        <v>433</v>
      </c>
      <c r="AP29" s="43"/>
    </row>
    <row r="30" spans="1:42" x14ac:dyDescent="0.2">
      <c r="A30" s="4">
        <v>1640</v>
      </c>
      <c r="B30" s="5">
        <f>IFERROR('1640'!$D$20, 0)</f>
        <v>1</v>
      </c>
      <c r="C30" s="5">
        <f>IFERROR('1640'!$D$26, 0)</f>
        <v>0.5</v>
      </c>
      <c r="D30" s="5">
        <f>IFERROR('1640'!$D$32, 0)</f>
        <v>0.33333333333333331</v>
      </c>
      <c r="E30" s="48">
        <f>IFERROR('1640'!$F$20, 0)</f>
        <v>1</v>
      </c>
      <c r="F30" s="48">
        <f>IFERROR('1640'!$F$26, 0)</f>
        <v>0.41666666666666669</v>
      </c>
      <c r="G30" s="48">
        <f>IFERROR('1640'!$F$32, 0)</f>
        <v>1</v>
      </c>
      <c r="H30" s="5"/>
      <c r="I30" s="5">
        <f>IFERROR('1640'!$I$21, 0)</f>
        <v>0.86538461538461542</v>
      </c>
      <c r="J30" s="5">
        <f>IFERROR('1640'!$I$24, 0)</f>
        <v>3.75</v>
      </c>
      <c r="K30" s="9">
        <f>IFERROR('1640'!$J$24, 0)</f>
        <v>6</v>
      </c>
      <c r="L30" s="5">
        <f>IFERROR('1640'!$K$24, 0)</f>
        <v>2.0056737702645644</v>
      </c>
      <c r="M30" s="5"/>
      <c r="N30" s="48">
        <f>IFERROR('1640'!$I$26, 0)</f>
        <v>1</v>
      </c>
      <c r="O30" s="48">
        <f>IFERROR('1640'!$I$29, 0)</f>
        <v>0.25</v>
      </c>
      <c r="P30" s="48">
        <f>IFERROR('1640'!$J$29, 0)</f>
        <v>1</v>
      </c>
      <c r="Q30" s="48">
        <f>IFERROR('1640'!$K$29, 0)</f>
        <v>0.45226701686664544</v>
      </c>
      <c r="R30" s="5"/>
      <c r="S30" s="48">
        <f>IFERROR('1640'!I31, 0)</f>
        <v>1</v>
      </c>
      <c r="T30" s="48">
        <f>IFERROR('1640'!$I$34, 0)</f>
        <v>0.41666666666666669</v>
      </c>
      <c r="U30" s="48">
        <f>IFERROR('1640'!$J$34, 0)</f>
        <v>2</v>
      </c>
      <c r="V30" s="48">
        <f>IFERROR('1640'!$K$34, 0)</f>
        <v>0.79296146109875909</v>
      </c>
      <c r="W30" s="5"/>
      <c r="X30" s="48">
        <f>IFERROR('1640'!L31, 0)</f>
        <v>0</v>
      </c>
      <c r="Y30" s="48">
        <f>IFERROR('1640'!L34, 0)</f>
        <v>0</v>
      </c>
      <c r="Z30" s="48">
        <f>IFERROR('1640'!M34, 0)</f>
        <v>0</v>
      </c>
      <c r="AA30" s="48">
        <f>IFERROR('1640'!N34, 0)</f>
        <v>0</v>
      </c>
      <c r="AB30" s="5"/>
      <c r="AC30" s="5">
        <f>IFERROR('1640'!$N$28, 0)</f>
        <v>0.18390804597701149</v>
      </c>
      <c r="AD30" s="5">
        <f>IFERROR('1640'!$N$30, 0)</f>
        <v>0.81609195402298851</v>
      </c>
      <c r="AE30" s="5"/>
      <c r="AF30" s="5">
        <f>IFERROR('1640'!$S$22, 0)</f>
        <v>0.66666666666666663</v>
      </c>
      <c r="AG30" s="5">
        <f>IFERROR('1640'!$U$22, 0)</f>
        <v>0.8</v>
      </c>
      <c r="AH30" s="5">
        <f>IFERROR('1640'!$U$24, 0)</f>
        <v>0</v>
      </c>
      <c r="AI30" s="5">
        <f>IFERROR('1640'!$S$24, 0)</f>
        <v>0.33333333333333331</v>
      </c>
      <c r="AJ30" s="5"/>
      <c r="AK30" s="5">
        <f>IFERROR('1640'!$G$68, 0)</f>
        <v>5.333333333333333</v>
      </c>
      <c r="AN30" s="43">
        <v>225</v>
      </c>
      <c r="AO30">
        <v>1807</v>
      </c>
      <c r="AP30" s="43"/>
    </row>
    <row r="31" spans="1:42" x14ac:dyDescent="0.2">
      <c r="A31" s="4">
        <v>1676</v>
      </c>
      <c r="B31" s="5">
        <f>IFERROR('1676'!$D$20, 0)</f>
        <v>0</v>
      </c>
      <c r="C31" s="5">
        <f>IFERROR('1676'!$D$26, 0)</f>
        <v>0</v>
      </c>
      <c r="D31" s="5">
        <f>IFERROR('1676'!$D$32, 0)</f>
        <v>0</v>
      </c>
      <c r="E31" s="48">
        <f>IFERROR('1676'!$F$20, 0)</f>
        <v>1</v>
      </c>
      <c r="F31" s="48">
        <f>IFERROR('1676'!$F$26, 0)</f>
        <v>0.91666666666666663</v>
      </c>
      <c r="G31" s="48">
        <f>IFERROR('1676'!$F$32, 0)</f>
        <v>0</v>
      </c>
      <c r="H31" s="5"/>
      <c r="I31" s="5">
        <f>IFERROR('1676'!$I$21, 0)</f>
        <v>0.7142857142857143</v>
      </c>
      <c r="J31" s="5">
        <f>IFERROR('1676'!$I$24, 0)</f>
        <v>1.6666666666666667</v>
      </c>
      <c r="K31" s="5">
        <f>IFERROR('1676'!$J$24, 0)</f>
        <v>4</v>
      </c>
      <c r="L31" s="5">
        <f>IFERROR('1676'!$K$24, 0)</f>
        <v>1.4354811251305468</v>
      </c>
      <c r="M31" s="5"/>
      <c r="N31" s="48">
        <f>IFERROR('1676'!$I$26, 0)</f>
        <v>0.95</v>
      </c>
      <c r="O31" s="48">
        <f>IFERROR('1676'!$I$29, 0)</f>
        <v>1.5833333333333333</v>
      </c>
      <c r="P31" s="48">
        <f>IFERROR('1676'!$J$29, 0)</f>
        <v>5</v>
      </c>
      <c r="Q31" s="48">
        <f>IFERROR('1676'!$K$29, 0)</f>
        <v>1.8319554050414564</v>
      </c>
      <c r="R31" s="5"/>
      <c r="S31" s="48">
        <f>IFERROR('1676'!I31, 0)</f>
        <v>1</v>
      </c>
      <c r="T31" s="48">
        <f>IFERROR('1676'!$I$34, 0)</f>
        <v>0.91666666666666663</v>
      </c>
      <c r="U31" s="48">
        <f>IFERROR('1676'!$J$34, 0)</f>
        <v>6</v>
      </c>
      <c r="V31" s="48">
        <f>IFERROR('1676'!$K$34, 0)</f>
        <v>1.9752253419585197</v>
      </c>
      <c r="W31" s="5"/>
      <c r="X31" s="48">
        <f>IFERROR('1676'!L31, 0)</f>
        <v>1</v>
      </c>
      <c r="Y31" s="48">
        <f>IFERROR('1676'!L34, 0)</f>
        <v>1.25</v>
      </c>
      <c r="Z31" s="48">
        <f>IFERROR('1676'!M34, 0)</f>
        <v>4</v>
      </c>
      <c r="AA31" s="48">
        <f>IFERROR('1676'!N34, 0)</f>
        <v>1.8929694486000912</v>
      </c>
      <c r="AB31" s="5"/>
      <c r="AC31" s="5">
        <f>IFERROR('1676'!$N$28, 0)</f>
        <v>7.6923076923076927E-2</v>
      </c>
      <c r="AD31" s="5">
        <f>IFERROR('1676'!$N$30, 0)</f>
        <v>0.92307692307692313</v>
      </c>
      <c r="AE31" s="5"/>
      <c r="AF31" s="5">
        <f>IFERROR('1676'!$S$22, 0)</f>
        <v>0.5</v>
      </c>
      <c r="AG31" s="5">
        <f>IFERROR('1676'!$U$22, 0)</f>
        <v>0.5</v>
      </c>
      <c r="AH31" s="5">
        <f>IFERROR('1676'!$U$24, 0)</f>
        <v>0</v>
      </c>
      <c r="AI31" s="5">
        <f>IFERROR('1676'!$S$24, 0)</f>
        <v>8.3333333333333329E-2</v>
      </c>
      <c r="AJ31" s="5"/>
      <c r="AK31" s="5">
        <f>IFERROR('1676'!$G$68, 0)</f>
        <v>5.083333333333333</v>
      </c>
      <c r="AN31" s="43">
        <v>303</v>
      </c>
      <c r="AO31">
        <v>4653</v>
      </c>
      <c r="AP31" s="43"/>
    </row>
    <row r="32" spans="1:42" x14ac:dyDescent="0.2">
      <c r="A32" s="4">
        <v>1712</v>
      </c>
      <c r="B32" s="5">
        <f>IFERROR('1712'!$D$20, 0)</f>
        <v>0.9</v>
      </c>
      <c r="C32" s="5">
        <f>IFERROR('1712'!$D$26, 0)</f>
        <v>1</v>
      </c>
      <c r="D32" s="5">
        <f>IFERROR('1712'!$D$32, 0)</f>
        <v>0.875</v>
      </c>
      <c r="E32" s="48">
        <f>IFERROR('1712'!$F$20, 0)</f>
        <v>1</v>
      </c>
      <c r="F32" s="48">
        <f>IFERROR('1712'!$F$26, 0)</f>
        <v>0.41666666666666669</v>
      </c>
      <c r="G32" s="48">
        <f>IFERROR('1712'!$F$32, 0)</f>
        <v>1</v>
      </c>
      <c r="H32" s="5"/>
      <c r="I32" s="5">
        <f>IFERROR('1712'!$I$21, 0)</f>
        <v>0.77777777777777779</v>
      </c>
      <c r="J32" s="5">
        <f>IFERROR('1712'!$I$24, 0)</f>
        <v>2.9166666666666665</v>
      </c>
      <c r="K32" s="5">
        <f>IFERROR('1712'!$J$24, 0)</f>
        <v>5</v>
      </c>
      <c r="L32" s="5">
        <f>IFERROR('1712'!$K$24, 0)</f>
        <v>1.7298624923456323</v>
      </c>
      <c r="M32" s="5"/>
      <c r="N32" s="48">
        <f>IFERROR('1712'!$I$26, 0)</f>
        <v>0.75</v>
      </c>
      <c r="O32" s="48">
        <f>IFERROR('1712'!$I$29, 0)</f>
        <v>0.25</v>
      </c>
      <c r="P32" s="48">
        <f>IFERROR('1712'!$J$29, 0)</f>
        <v>1</v>
      </c>
      <c r="Q32" s="48">
        <f>IFERROR('1712'!$K$29, 0)</f>
        <v>0.45226701686664544</v>
      </c>
      <c r="R32" s="5"/>
      <c r="S32" s="48">
        <f>IFERROR('1712'!I31, 0)</f>
        <v>1</v>
      </c>
      <c r="T32" s="48">
        <f>IFERROR('1712'!$I$34, 0)</f>
        <v>1.8333333333333333</v>
      </c>
      <c r="U32" s="48">
        <f>IFERROR('1712'!$J$34, 0)</f>
        <v>8</v>
      </c>
      <c r="V32" s="48">
        <f>IFERROR('1712'!$K$34, 0)</f>
        <v>2.9797294975866313</v>
      </c>
      <c r="W32" s="5"/>
      <c r="X32" s="48">
        <f>IFERROR('1712'!L31, 0)</f>
        <v>1</v>
      </c>
      <c r="Y32" s="48">
        <f>IFERROR('1712'!L34, 0)</f>
        <v>0.75</v>
      </c>
      <c r="Z32" s="48">
        <f>IFERROR('1712'!M34, 0)</f>
        <v>3</v>
      </c>
      <c r="AA32" s="48">
        <f>IFERROR('1712'!N34, 0)</f>
        <v>1.5</v>
      </c>
      <c r="AB32" s="5"/>
      <c r="AC32" s="5">
        <f>IFERROR('1712'!$N$28, 0)</f>
        <v>0.22222222222222221</v>
      </c>
      <c r="AD32" s="5">
        <f>IFERROR('1712'!$N$30, 0)</f>
        <v>0.77777777777777779</v>
      </c>
      <c r="AE32" s="5"/>
      <c r="AF32" s="5">
        <f>IFERROR('1712'!$S$22, 0)</f>
        <v>0</v>
      </c>
      <c r="AG32" s="5">
        <f>IFERROR('1712'!$U$22, 0)</f>
        <v>0</v>
      </c>
      <c r="AH32" s="5">
        <f>IFERROR('1712'!$U$24, 0)</f>
        <v>0</v>
      </c>
      <c r="AI32" s="5">
        <f>IFERROR('1712'!$S$24, 0)</f>
        <v>0</v>
      </c>
      <c r="AJ32" s="5"/>
      <c r="AK32" s="5">
        <f>IFERROR('1712'!$G$68, 0)</f>
        <v>6.416666666666667</v>
      </c>
      <c r="AN32" s="43">
        <v>2180</v>
      </c>
      <c r="AO32">
        <v>1089</v>
      </c>
      <c r="AP32" s="43"/>
    </row>
    <row r="33" spans="1:42" x14ac:dyDescent="0.2">
      <c r="A33" s="4">
        <v>1807</v>
      </c>
      <c r="B33" s="5">
        <f>IFERROR('1807'!$D$20, 0)</f>
        <v>0</v>
      </c>
      <c r="C33" s="5">
        <f>IFERROR('1807'!$D$26, 0)</f>
        <v>0</v>
      </c>
      <c r="D33" s="5">
        <f>IFERROR('1807'!$D$32, 0)</f>
        <v>0</v>
      </c>
      <c r="E33" s="48">
        <f>IFERROR('1807'!$F$20, 0)</f>
        <v>0</v>
      </c>
      <c r="F33" s="48">
        <f>IFERROR('1807'!$F$26, 0)</f>
        <v>0</v>
      </c>
      <c r="G33" s="48">
        <f>IFERROR('1807'!$F$32, 0)</f>
        <v>0</v>
      </c>
      <c r="H33" s="5"/>
      <c r="I33" s="5">
        <f>IFERROR('1807'!$I$21, 0)</f>
        <v>0.7142857142857143</v>
      </c>
      <c r="J33" s="5">
        <f>IFERROR('1807'!$I$24, 0)</f>
        <v>2.5</v>
      </c>
      <c r="K33" s="5">
        <f>IFERROR('1807'!$J$24, 0)</f>
        <v>6</v>
      </c>
      <c r="L33" s="5">
        <f>IFERROR('1807'!$K$24, 0)</f>
        <v>2.0225995873897262</v>
      </c>
      <c r="M33" s="5"/>
      <c r="N33" s="48">
        <f>IFERROR('1807'!$I$26, 0)</f>
        <v>1</v>
      </c>
      <c r="O33" s="48">
        <f>IFERROR('1807'!$I$29, 0)</f>
        <v>0.91666666666666663</v>
      </c>
      <c r="P33" s="48">
        <f>IFERROR('1807'!$J$29, 0)</f>
        <v>3</v>
      </c>
      <c r="Q33" s="48">
        <f>IFERROR('1807'!$K$29, 0)</f>
        <v>1.0836246694508316</v>
      </c>
      <c r="R33" s="5"/>
      <c r="S33" s="48">
        <f>IFERROR('1807'!I31, 0)</f>
        <v>1</v>
      </c>
      <c r="T33" s="48">
        <f>IFERROR('1807'!$I$34, 0)</f>
        <v>1.1666666666666667</v>
      </c>
      <c r="U33" s="48">
        <f>IFERROR('1807'!$J$34, 0)</f>
        <v>6</v>
      </c>
      <c r="V33" s="48">
        <f>IFERROR('1807'!$K$34, 0)</f>
        <v>2.2087978356535665</v>
      </c>
      <c r="W33" s="5"/>
      <c r="X33" s="48">
        <f>IFERROR('1807'!L31, 0)</f>
        <v>0</v>
      </c>
      <c r="Y33" s="48">
        <f>IFERROR('1807'!L34, 0)</f>
        <v>0</v>
      </c>
      <c r="Z33" s="48">
        <f>IFERROR('1807'!M34, 0)</f>
        <v>0</v>
      </c>
      <c r="AA33" s="48">
        <f>IFERROR('1807'!N34, 0)</f>
        <v>0</v>
      </c>
      <c r="AB33" s="5"/>
      <c r="AC33" s="5">
        <f>IFERROR('1807'!$N$28, 0)</f>
        <v>0.23749999999999999</v>
      </c>
      <c r="AD33" s="5">
        <f>IFERROR('1807'!$N$30, 0)</f>
        <v>0.76249999999999996</v>
      </c>
      <c r="AE33" s="5"/>
      <c r="AF33" s="5">
        <f>IFERROR('1807'!$S$22, 0)</f>
        <v>0</v>
      </c>
      <c r="AG33" s="5">
        <f>IFERROR('1807'!$U$22, 0)</f>
        <v>0</v>
      </c>
      <c r="AH33" s="5">
        <f>IFERROR('1807'!$U$24, 0)</f>
        <v>0</v>
      </c>
      <c r="AI33" s="5">
        <f>IFERROR('1807'!$S$24, 0)</f>
        <v>0</v>
      </c>
      <c r="AJ33" s="5"/>
      <c r="AK33" s="5">
        <f>IFERROR('1807'!$G$68, 0)</f>
        <v>4.583333333333333</v>
      </c>
      <c r="AN33" s="43">
        <v>5407</v>
      </c>
      <c r="AO33">
        <v>225</v>
      </c>
      <c r="AP33" s="43"/>
    </row>
    <row r="34" spans="1:42" x14ac:dyDescent="0.2">
      <c r="A34" s="4">
        <v>1923</v>
      </c>
      <c r="B34" s="5">
        <f>IFERROR('1923'!$D$20, 0)</f>
        <v>0.66666666666666663</v>
      </c>
      <c r="C34" s="5">
        <f>IFERROR('1923'!$D$26, 0)</f>
        <v>0.41666666666666669</v>
      </c>
      <c r="D34" s="5">
        <f>IFERROR('1923'!$D$32, 0)</f>
        <v>1</v>
      </c>
      <c r="E34" s="48">
        <f>IFERROR('1923'!$F$20, 0)</f>
        <v>0.5</v>
      </c>
      <c r="F34" s="48">
        <f>IFERROR('1923'!$F$26, 0)</f>
        <v>8.3333333333333329E-2</v>
      </c>
      <c r="G34" s="48">
        <f>IFERROR('1923'!$F$32, 0)</f>
        <v>0</v>
      </c>
      <c r="H34" s="5"/>
      <c r="I34" s="5">
        <f>IFERROR('1923'!$I$21, 0)</f>
        <v>0.81666666666666665</v>
      </c>
      <c r="J34" s="5">
        <f>IFERROR('1923'!$I$24, 0)</f>
        <v>4.083333333333333</v>
      </c>
      <c r="K34" s="5">
        <f>IFERROR('1923'!$J$24, 0)</f>
        <v>6</v>
      </c>
      <c r="L34" s="5">
        <f>IFERROR('1923'!$K$24, 0)</f>
        <v>1.3789543689024488</v>
      </c>
      <c r="M34" s="5"/>
      <c r="N34" s="48">
        <f>IFERROR('1923'!$I$26, 0)</f>
        <v>1</v>
      </c>
      <c r="O34" s="48">
        <f>IFERROR('1923'!$I$29, 0)</f>
        <v>0.41666666666666669</v>
      </c>
      <c r="P34" s="48">
        <f>IFERROR('1923'!$J$29, 0)</f>
        <v>3</v>
      </c>
      <c r="Q34" s="48">
        <f>IFERROR('1923'!$K$29, 0)</f>
        <v>0.90033663737851999</v>
      </c>
      <c r="R34" s="5"/>
      <c r="S34" s="48">
        <f>IFERROR('1923'!I31, 0)</f>
        <v>0.9</v>
      </c>
      <c r="T34" s="48">
        <f>IFERROR('1923'!$I$34, 0)</f>
        <v>0.75</v>
      </c>
      <c r="U34" s="48">
        <f>IFERROR('1923'!$J$34, 0)</f>
        <v>7</v>
      </c>
      <c r="V34" s="48">
        <f>IFERROR('1923'!$K$34, 0)</f>
        <v>2.0056737702645644</v>
      </c>
      <c r="W34" s="5"/>
      <c r="X34" s="48">
        <f>IFERROR('1923'!L31, 0)</f>
        <v>0</v>
      </c>
      <c r="Y34" s="48">
        <f>IFERROR('1923'!L34, 0)</f>
        <v>0</v>
      </c>
      <c r="Z34" s="48">
        <f>IFERROR('1923'!M34, 0)</f>
        <v>0</v>
      </c>
      <c r="AA34" s="48">
        <f>IFERROR('1923'!N34, 0)</f>
        <v>0</v>
      </c>
      <c r="AB34" s="5"/>
      <c r="AC34" s="5">
        <f>IFERROR('1923'!$N$28, 0)</f>
        <v>0.18181818181818182</v>
      </c>
      <c r="AD34" s="5">
        <f>IFERROR('1923'!$N$30, 0)</f>
        <v>0.81818181818181823</v>
      </c>
      <c r="AE34" s="5"/>
      <c r="AF34" s="5">
        <f>IFERROR('1923'!$S$22, 0)</f>
        <v>0.4</v>
      </c>
      <c r="AG34" s="5">
        <f>IFERROR('1923'!$U$22, 0)</f>
        <v>0.25</v>
      </c>
      <c r="AH34" s="5">
        <f>IFERROR('1923'!$U$24, 0)</f>
        <v>1</v>
      </c>
      <c r="AI34" s="5">
        <f>IFERROR('1923'!$S$24, 0)</f>
        <v>0.16666666666666666</v>
      </c>
      <c r="AJ34" s="5"/>
      <c r="AK34" s="5">
        <f>IFERROR('1923'!$G$68, 0)</f>
        <v>5.75</v>
      </c>
      <c r="AN34" s="43">
        <v>2495</v>
      </c>
      <c r="AO34">
        <v>1391</v>
      </c>
      <c r="AP34" s="43"/>
    </row>
    <row r="35" spans="1:42" x14ac:dyDescent="0.2">
      <c r="A35" s="4">
        <v>1989</v>
      </c>
      <c r="B35" s="5">
        <f>IFERROR('1989'!$D$20, 0)</f>
        <v>0</v>
      </c>
      <c r="C35" s="5">
        <f>IFERROR('1989'!$D$26, 0)</f>
        <v>0</v>
      </c>
      <c r="D35" s="5">
        <f>IFERROR('1989'!$D$32, 0)</f>
        <v>0</v>
      </c>
      <c r="E35" s="48">
        <f>IFERROR('1989'!$F$20, 0)</f>
        <v>1</v>
      </c>
      <c r="F35" s="48">
        <f>IFERROR('1989'!$F$26, 0)</f>
        <v>0.41666666666666669</v>
      </c>
      <c r="G35" s="48">
        <f>IFERROR('1989'!$F$32, 0)</f>
        <v>0</v>
      </c>
      <c r="H35" s="5"/>
      <c r="I35" s="5">
        <f>IFERROR('1989'!$I$21, 0)</f>
        <v>0.8666666666666667</v>
      </c>
      <c r="J35" s="5">
        <f>IFERROR('1989'!$I$24, 0)</f>
        <v>1.0833333333333333</v>
      </c>
      <c r="K35" s="5">
        <f>IFERROR('1989'!$J$24, 0)</f>
        <v>5</v>
      </c>
      <c r="L35" s="5">
        <f>IFERROR('1989'!$K$24, 0)</f>
        <v>1.9752253419585197</v>
      </c>
      <c r="M35" s="5"/>
      <c r="N35" s="48">
        <f>IFERROR('1989'!$I$26, 0)</f>
        <v>0.95833333333333337</v>
      </c>
      <c r="O35" s="48">
        <f>IFERROR('1989'!$I$29, 0)</f>
        <v>1.9166666666666667</v>
      </c>
      <c r="P35" s="48">
        <f>IFERROR('1989'!$J$29, 0)</f>
        <v>5</v>
      </c>
      <c r="Q35" s="48">
        <f>IFERROR('1989'!$K$29, 0)</f>
        <v>1.8319554050414562</v>
      </c>
      <c r="R35" s="5"/>
      <c r="S35" s="48">
        <f>IFERROR('1989'!I31, 0)</f>
        <v>1</v>
      </c>
      <c r="T35" s="48">
        <f>IFERROR('1989'!$I$34, 0)</f>
        <v>2.5833333333333335</v>
      </c>
      <c r="U35" s="48">
        <f>IFERROR('1989'!$J$34, 0)</f>
        <v>7</v>
      </c>
      <c r="V35" s="48">
        <f>IFERROR('1989'!$K$34, 0)</f>
        <v>2.7122058561364044</v>
      </c>
      <c r="W35" s="5"/>
      <c r="X35" s="48">
        <f>IFERROR('1989'!L31, 0)</f>
        <v>1</v>
      </c>
      <c r="Y35" s="48">
        <f>IFERROR('1989'!L34, 0)</f>
        <v>1.25</v>
      </c>
      <c r="Z35" s="48">
        <f>IFERROR('1989'!M34, 0)</f>
        <v>4</v>
      </c>
      <c r="AA35" s="48">
        <f>IFERROR('1989'!N34, 0)</f>
        <v>1.8929694486000912</v>
      </c>
      <c r="AB35" s="5"/>
      <c r="AC35" s="5">
        <f>IFERROR('1989'!$N$28, 0)</f>
        <v>0</v>
      </c>
      <c r="AD35" s="5">
        <f>IFERROR('1989'!$N$30, 0)</f>
        <v>1</v>
      </c>
      <c r="AE35" s="5"/>
      <c r="AF35" s="5">
        <f>IFERROR('1989'!$S$22, 0)</f>
        <v>0.4</v>
      </c>
      <c r="AG35" s="5">
        <f>IFERROR('1989'!$U$22, 0)</f>
        <v>0.5</v>
      </c>
      <c r="AH35" s="5">
        <f>IFERROR('1989'!$U$24, 0)</f>
        <v>0</v>
      </c>
      <c r="AI35" s="5">
        <f>IFERROR('1989'!$S$24, 0)</f>
        <v>0.16666666666666666</v>
      </c>
      <c r="AJ35" s="5"/>
      <c r="AK35" s="5">
        <f>IFERROR('1989'!$G$68, 0)</f>
        <v>6</v>
      </c>
      <c r="AN35" s="43">
        <v>5895</v>
      </c>
      <c r="AO35">
        <v>1923</v>
      </c>
      <c r="AP35" s="43"/>
    </row>
    <row r="36" spans="1:42" x14ac:dyDescent="0.2">
      <c r="A36" s="4">
        <v>2016</v>
      </c>
      <c r="B36" s="5">
        <f>IFERROR('2016'!$D$20, 0)</f>
        <v>0</v>
      </c>
      <c r="C36" s="5">
        <f>IFERROR('2016'!$D$26, 0)</f>
        <v>0</v>
      </c>
      <c r="D36" s="5">
        <f>IFERROR('2016'!$D$32, 0)</f>
        <v>0</v>
      </c>
      <c r="E36" s="48">
        <f>IFERROR('2016'!$F$20, 0)</f>
        <v>0.9</v>
      </c>
      <c r="F36" s="48">
        <f>IFERROR('2016'!$F$26, 0)</f>
        <v>1.25</v>
      </c>
      <c r="G36" s="48">
        <f>IFERROR('2016'!$F$32, 0)</f>
        <v>0.9285714285714286</v>
      </c>
      <c r="H36" s="5"/>
      <c r="I36" s="5">
        <f>IFERROR('2016'!$I$21, 0)</f>
        <v>0</v>
      </c>
      <c r="J36" s="5">
        <f>IFERROR('2016'!$I$24, 0)</f>
        <v>0</v>
      </c>
      <c r="K36" s="5">
        <f>IFERROR('2016'!$J$24, 0)</f>
        <v>0</v>
      </c>
      <c r="L36" s="5">
        <f>IFERROR('2016'!$K$24, 0)</f>
        <v>0</v>
      </c>
      <c r="M36" s="5"/>
      <c r="N36" s="48">
        <f>IFERROR('2016'!$I$26, 0)</f>
        <v>0.91666666666666663</v>
      </c>
      <c r="O36" s="48">
        <f>IFERROR('2016'!$I$29, 0)</f>
        <v>0.91666666666666663</v>
      </c>
      <c r="P36" s="48">
        <f>IFERROR('2016'!$J$29, 0)</f>
        <v>3</v>
      </c>
      <c r="Q36" s="48">
        <f>IFERROR('2016'!$K$29, 0)</f>
        <v>0.99620491989562188</v>
      </c>
      <c r="R36" s="5"/>
      <c r="S36" s="48">
        <f>IFERROR('2016'!I31, 0)</f>
        <v>1</v>
      </c>
      <c r="T36" s="48">
        <f>IFERROR('2016'!$I$34, 0)</f>
        <v>6</v>
      </c>
      <c r="U36" s="48">
        <f>IFERROR('2016'!$J$34, 0)</f>
        <v>9</v>
      </c>
      <c r="V36" s="48">
        <f>IFERROR('2016'!$K$34, 0)</f>
        <v>3.3574882386580707</v>
      </c>
      <c r="W36" s="5"/>
      <c r="X36" s="48">
        <f>IFERROR('2016'!L31, 0)</f>
        <v>1</v>
      </c>
      <c r="Y36" s="48">
        <f>IFERROR('2016'!L34, 0)</f>
        <v>7.5</v>
      </c>
      <c r="Z36" s="48">
        <f>IFERROR('2016'!M34, 0)</f>
        <v>9</v>
      </c>
      <c r="AA36" s="48">
        <f>IFERROR('2016'!N34, 0)</f>
        <v>1.9148542155126762</v>
      </c>
      <c r="AB36" s="5"/>
      <c r="AC36" s="5">
        <f>IFERROR('2016'!$N$28, 0)</f>
        <v>8.8235294117647065E-2</v>
      </c>
      <c r="AD36" s="5">
        <f>IFERROR('2016'!$N$30, 0)</f>
        <v>0.91176470588235292</v>
      </c>
      <c r="AE36" s="5"/>
      <c r="AF36" s="5">
        <f>IFERROR('2016'!$S$22, 0)</f>
        <v>0</v>
      </c>
      <c r="AG36" s="5">
        <f>IFERROR('2016'!$U$22, 0)</f>
        <v>0</v>
      </c>
      <c r="AH36" s="5">
        <f>IFERROR('2016'!$U$24, 0)</f>
        <v>0</v>
      </c>
      <c r="AI36" s="5">
        <f>IFERROR('2016'!$S$24, 0)</f>
        <v>0</v>
      </c>
      <c r="AJ36" s="5"/>
      <c r="AK36" s="5">
        <f>IFERROR('2016'!$G$68, 0)</f>
        <v>8.1666666666666661</v>
      </c>
      <c r="AN36" s="43">
        <v>1676</v>
      </c>
      <c r="AO36">
        <v>5420</v>
      </c>
      <c r="AP36" s="43"/>
    </row>
    <row r="37" spans="1:42" x14ac:dyDescent="0.2">
      <c r="A37" s="4">
        <v>2180</v>
      </c>
      <c r="B37" s="5">
        <f>IFERROR('2180'!$D$20, 0)</f>
        <v>0</v>
      </c>
      <c r="C37" s="5">
        <f>IFERROR('2180'!$D$26, 0)</f>
        <v>0</v>
      </c>
      <c r="D37" s="5">
        <f>IFERROR('2180'!$D$32, 0)</f>
        <v>0</v>
      </c>
      <c r="E37" s="48">
        <f>IFERROR('2180'!$F$20, 0)</f>
        <v>0.66666666666666663</v>
      </c>
      <c r="F37" s="48">
        <f>IFERROR('2180'!$F$26, 0)</f>
        <v>0.18181818181818182</v>
      </c>
      <c r="G37" s="48">
        <f>IFERROR('2180'!$F$32, 0)</f>
        <v>0</v>
      </c>
      <c r="H37" s="5"/>
      <c r="I37" s="5">
        <f>IFERROR('2180'!$I$21, 0)</f>
        <v>0.94594594594594594</v>
      </c>
      <c r="J37" s="5">
        <f>IFERROR('2180'!$I$24, 0)</f>
        <v>3.1818181818181817</v>
      </c>
      <c r="K37" s="5">
        <f>IFERROR('2180'!$J$24, 0)</f>
        <v>5</v>
      </c>
      <c r="L37" s="5">
        <f>IFERROR('2180'!$K$24, 0)</f>
        <v>1.5374122295716151</v>
      </c>
      <c r="M37" s="5"/>
      <c r="N37" s="48">
        <f>IFERROR('2180'!$I$26, 0)</f>
        <v>0.8571428571428571</v>
      </c>
      <c r="O37" s="48">
        <f>IFERROR('2180'!$I$29, 0)</f>
        <v>0.54545454545454541</v>
      </c>
      <c r="P37" s="48">
        <f>IFERROR('2180'!$J$29, 0)</f>
        <v>3</v>
      </c>
      <c r="Q37" s="48">
        <f>IFERROR('2180'!$K$29, 0)</f>
        <v>0.9341987329938275</v>
      </c>
      <c r="R37" s="5"/>
      <c r="S37" s="48">
        <f>IFERROR('2180'!I31, 0)</f>
        <v>1</v>
      </c>
      <c r="T37" s="48">
        <f>IFERROR('2180'!$I$34, 0)</f>
        <v>1.1818181818181819</v>
      </c>
      <c r="U37" s="48">
        <f>IFERROR('2180'!$J$34, 0)</f>
        <v>7</v>
      </c>
      <c r="V37" s="48">
        <f>IFERROR('2180'!$K$34, 0)</f>
        <v>2.3159525823376361</v>
      </c>
      <c r="W37" s="5"/>
      <c r="X37" s="48">
        <f>IFERROR('2180'!L31, 0)</f>
        <v>0</v>
      </c>
      <c r="Y37" s="48">
        <f>IFERROR('2180'!L34, 0)</f>
        <v>0</v>
      </c>
      <c r="Z37" s="48">
        <f>IFERROR('2180'!M34, 0)</f>
        <v>0</v>
      </c>
      <c r="AA37" s="48">
        <f>IFERROR('2180'!N34, 0)</f>
        <v>0</v>
      </c>
      <c r="AB37" s="5"/>
      <c r="AC37" s="5">
        <f>IFERROR('2180'!$N$28, 0)</f>
        <v>0.23880597014925373</v>
      </c>
      <c r="AD37" s="5">
        <f>IFERROR('2180'!$N$30, 0)</f>
        <v>0.76119402985074625</v>
      </c>
      <c r="AE37" s="5"/>
      <c r="AF37" s="5">
        <f>IFERROR('2180'!$S$22, 0)</f>
        <v>0</v>
      </c>
      <c r="AG37" s="5">
        <f>IFERROR('2180'!$U$22, 0)</f>
        <v>0</v>
      </c>
      <c r="AH37" s="5">
        <f>IFERROR('2180'!$U$24, 0)</f>
        <v>0</v>
      </c>
      <c r="AI37" s="5">
        <f>IFERROR('2180'!$S$24, 0)</f>
        <v>0</v>
      </c>
      <c r="AJ37" s="5"/>
      <c r="AK37" s="5">
        <f>IFERROR('2180'!$G$68, 0)</f>
        <v>5.0909090909090908</v>
      </c>
      <c r="AN37" s="43">
        <v>1807</v>
      </c>
      <c r="AO37">
        <v>6203</v>
      </c>
      <c r="AP37" s="43"/>
    </row>
    <row r="38" spans="1:42" x14ac:dyDescent="0.2">
      <c r="A38" s="4">
        <v>2495</v>
      </c>
      <c r="B38" s="5">
        <f>IFERROR('2495'!$D$20, 0)</f>
        <v>0.5</v>
      </c>
      <c r="C38" s="5">
        <f>IFERROR('2495'!$D$26, 0)</f>
        <v>8.3333333333333329E-2</v>
      </c>
      <c r="D38" s="5">
        <f>IFERROR('2495'!$D$32, 0)</f>
        <v>0</v>
      </c>
      <c r="E38" s="48">
        <f>IFERROR('2495'!$F$20, 0)</f>
        <v>0.88888888888888884</v>
      </c>
      <c r="F38" s="48">
        <f>IFERROR('2495'!$F$26, 0)</f>
        <v>0.66666666666666663</v>
      </c>
      <c r="G38" s="48">
        <f>IFERROR('2495'!$F$32, 0)</f>
        <v>0</v>
      </c>
      <c r="H38" s="5"/>
      <c r="I38" s="5">
        <f>IFERROR('2495'!$I$21, 0)</f>
        <v>0.66666666666666663</v>
      </c>
      <c r="J38" s="5">
        <f>IFERROR('2495'!$I$24, 0)</f>
        <v>1</v>
      </c>
      <c r="K38" s="5">
        <f>IFERROR('2495'!$J$24, 0)</f>
        <v>4</v>
      </c>
      <c r="L38" s="5">
        <f>IFERROR('2495'!$K$24, 0)</f>
        <v>1.4142135623730951</v>
      </c>
      <c r="M38" s="5"/>
      <c r="N38" s="48">
        <f>IFERROR('2495'!$I$26, 0)</f>
        <v>0.9375</v>
      </c>
      <c r="O38" s="48">
        <f>IFERROR('2495'!$I$29, 0)</f>
        <v>1.25</v>
      </c>
      <c r="P38" s="48">
        <f>IFERROR('2495'!$J$29, 0)</f>
        <v>4</v>
      </c>
      <c r="Q38" s="48">
        <f>IFERROR('2495'!$K$29, 0)</f>
        <v>1.3568010505999362</v>
      </c>
      <c r="R38" s="5"/>
      <c r="S38" s="48">
        <f>IFERROR('2495'!I31, 0)</f>
        <v>0.94117647058823528</v>
      </c>
      <c r="T38" s="48">
        <f>IFERROR('2495'!$I$34, 0)</f>
        <v>2.6666666666666665</v>
      </c>
      <c r="U38" s="48">
        <f>IFERROR('2495'!$J$34, 0)</f>
        <v>7</v>
      </c>
      <c r="V38" s="48">
        <f>IFERROR('2495'!$K$34, 0)</f>
        <v>2.9336088024923512</v>
      </c>
      <c r="W38" s="5"/>
      <c r="X38" s="48">
        <f>IFERROR('2495'!L31, 0)</f>
        <v>1</v>
      </c>
      <c r="Y38" s="48">
        <f>IFERROR('2495'!L34, 0)</f>
        <v>2</v>
      </c>
      <c r="Z38" s="48">
        <f>IFERROR('2495'!M34, 0)</f>
        <v>5</v>
      </c>
      <c r="AA38" s="48">
        <f>IFERROR('2495'!N34, 0)</f>
        <v>2.4494897427831779</v>
      </c>
      <c r="AB38" s="5"/>
      <c r="AC38" s="5">
        <f>IFERROR('2495'!$N$28, 0)</f>
        <v>0</v>
      </c>
      <c r="AD38" s="5">
        <f>IFERROR('2495'!$N$30, 0)</f>
        <v>1</v>
      </c>
      <c r="AE38" s="5"/>
      <c r="AF38" s="5">
        <f>IFERROR('2495'!$S$22, 0)</f>
        <v>1</v>
      </c>
      <c r="AG38" s="5">
        <f>IFERROR('2495'!$U$22, 0)</f>
        <v>1</v>
      </c>
      <c r="AH38" s="5">
        <f>IFERROR('2495'!$U$24, 0)</f>
        <v>1</v>
      </c>
      <c r="AI38" s="5">
        <f>IFERROR('2495'!$S$24, 0)</f>
        <v>0.33333333333333331</v>
      </c>
      <c r="AJ38" s="5"/>
      <c r="AK38" s="5">
        <f>IFERROR('2495'!$G$68, 0)</f>
        <v>5.666666666666667</v>
      </c>
      <c r="AN38" s="43">
        <v>2590</v>
      </c>
      <c r="AO38">
        <v>2016</v>
      </c>
      <c r="AP38" s="43"/>
    </row>
    <row r="39" spans="1:42" x14ac:dyDescent="0.2">
      <c r="A39" s="4">
        <v>2539</v>
      </c>
      <c r="B39" s="5">
        <f>IFERROR('2539'!$D$20, 0)</f>
        <v>0.66666666666666663</v>
      </c>
      <c r="C39" s="5">
        <f>IFERROR('2539'!$D$26, 0)</f>
        <v>0.33333333333333331</v>
      </c>
      <c r="D39" s="5">
        <f>IFERROR('2539'!$D$32, 0)</f>
        <v>0</v>
      </c>
      <c r="E39" s="48">
        <f>IFERROR('2539'!$F$20, 0)</f>
        <v>1</v>
      </c>
      <c r="F39" s="48">
        <f>IFERROR('2539'!$F$26, 0)</f>
        <v>0.25</v>
      </c>
      <c r="G39" s="48">
        <f>IFERROR('2539'!$F$32, 0)</f>
        <v>0</v>
      </c>
      <c r="H39" s="5"/>
      <c r="I39" s="5">
        <f>IFERROR('2539'!$I$21, 0)</f>
        <v>0.93023255813953487</v>
      </c>
      <c r="J39" s="5">
        <f>IFERROR('2539'!$I$24, 0)</f>
        <v>3.3333333333333335</v>
      </c>
      <c r="K39" s="5">
        <f>IFERROR('2539'!$J$24, 0)</f>
        <v>5</v>
      </c>
      <c r="L39" s="5">
        <f>IFERROR('2539'!$K$24, 0)</f>
        <v>1.5569978883230458</v>
      </c>
      <c r="M39" s="5"/>
      <c r="N39" s="48">
        <f>IFERROR('2539'!$I$26, 0)</f>
        <v>1</v>
      </c>
      <c r="O39" s="48">
        <f>IFERROR('2539'!$I$29, 0)</f>
        <v>1.1666666666666667</v>
      </c>
      <c r="P39" s="48">
        <f>IFERROR('2539'!$J$29, 0)</f>
        <v>4</v>
      </c>
      <c r="Q39" s="48">
        <f>IFERROR('2539'!$K$29, 0)</f>
        <v>1.6422453217986943</v>
      </c>
      <c r="R39" s="5"/>
      <c r="S39" s="48">
        <f>IFERROR('2539'!I31, 0)</f>
        <v>0.91666666666666663</v>
      </c>
      <c r="T39" s="48">
        <f>IFERROR('2539'!$I$34, 0)</f>
        <v>0.91666666666666663</v>
      </c>
      <c r="U39" s="48">
        <f>IFERROR('2539'!$J$34, 0)</f>
        <v>6</v>
      </c>
      <c r="V39" s="48">
        <f>IFERROR('2539'!$K$34, 0)</f>
        <v>2.151461800448216</v>
      </c>
      <c r="W39" s="5"/>
      <c r="X39" s="48">
        <f>IFERROR('2539'!L31, 0)</f>
        <v>1</v>
      </c>
      <c r="Y39" s="48">
        <f>IFERROR('2539'!L34, 0)</f>
        <v>1.25</v>
      </c>
      <c r="Z39" s="48">
        <f>IFERROR('2539'!M34, 0)</f>
        <v>5</v>
      </c>
      <c r="AA39" s="48">
        <f>IFERROR('2539'!N34, 0)</f>
        <v>2.5</v>
      </c>
      <c r="AB39" s="5"/>
      <c r="AC39" s="5">
        <f>IFERROR('2539'!$N$28, 0)</f>
        <v>0.17808219178082191</v>
      </c>
      <c r="AD39" s="5">
        <f>IFERROR('2539'!$N$30, 0)</f>
        <v>0.82191780821917804</v>
      </c>
      <c r="AE39" s="5"/>
      <c r="AF39" s="5">
        <f>IFERROR('2539'!$S$22, 0)</f>
        <v>1</v>
      </c>
      <c r="AG39" s="5">
        <f>IFERROR('2539'!$U$22, 0)</f>
        <v>1</v>
      </c>
      <c r="AH39" s="5">
        <f>IFERROR('2539'!$U$24, 0)</f>
        <v>0</v>
      </c>
      <c r="AI39" s="5">
        <f>IFERROR('2539'!$S$24, 0)</f>
        <v>0.66666666666666663</v>
      </c>
      <c r="AJ39" s="5"/>
      <c r="AK39" s="5">
        <f>IFERROR('2539'!$G$68, 0)</f>
        <v>6</v>
      </c>
      <c r="AN39" s="43">
        <v>5420</v>
      </c>
      <c r="AO39">
        <v>1257</v>
      </c>
      <c r="AP39" s="43"/>
    </row>
    <row r="40" spans="1:42" x14ac:dyDescent="0.2">
      <c r="A40" s="4">
        <v>2590</v>
      </c>
      <c r="B40" s="5">
        <f>IFERROR('2590'!$D$20, 0)</f>
        <v>0.75</v>
      </c>
      <c r="C40" s="5">
        <f>IFERROR('2590'!$D$26, 0)</f>
        <v>0.58333333333333337</v>
      </c>
      <c r="D40" s="5">
        <f>IFERROR('2590'!$D$32, 0)</f>
        <v>0.75</v>
      </c>
      <c r="E40" s="48">
        <f>IFERROR('2590'!$F$20, 0)</f>
        <v>0.66666666666666663</v>
      </c>
      <c r="F40" s="48">
        <f>IFERROR('2590'!$F$26, 0)</f>
        <v>0.33333333333333331</v>
      </c>
      <c r="G40" s="48">
        <f>IFERROR('2590'!$F$32, 0)</f>
        <v>1</v>
      </c>
      <c r="H40" s="5"/>
      <c r="I40" s="5">
        <f>IFERROR('2590'!$I$21, 0)</f>
        <v>0.92452830188679247</v>
      </c>
      <c r="J40" s="5">
        <f>IFERROR('2590'!$I$24, 0)</f>
        <v>4.083333333333333</v>
      </c>
      <c r="K40" s="5">
        <f>IFERROR('2590'!$J$24, 0)</f>
        <v>6</v>
      </c>
      <c r="L40" s="5">
        <f>IFERROR('2590'!$K$24, 0)</f>
        <v>1.7816403745544227</v>
      </c>
      <c r="M40" s="5"/>
      <c r="N40" s="48">
        <f>IFERROR('2590'!$I$26, 0)</f>
        <v>1</v>
      </c>
      <c r="O40" s="48">
        <f>IFERROR('2590'!$I$29, 0)</f>
        <v>1</v>
      </c>
      <c r="P40" s="48">
        <f>IFERROR('2590'!$J$29, 0)</f>
        <v>5</v>
      </c>
      <c r="Q40" s="48">
        <f>IFERROR('2590'!$K$29, 0)</f>
        <v>1.7056057308448835</v>
      </c>
      <c r="R40" s="5"/>
      <c r="S40" s="48">
        <f>IFERROR('2590'!I31, 0)</f>
        <v>1</v>
      </c>
      <c r="T40" s="48">
        <f>IFERROR('2590'!$I$34, 0)</f>
        <v>0.66666666666666663</v>
      </c>
      <c r="U40" s="48">
        <f>IFERROR('2590'!$J$34, 0)</f>
        <v>6</v>
      </c>
      <c r="V40" s="48">
        <f>IFERROR('2590'!$K$34, 0)</f>
        <v>1.7752507291971891</v>
      </c>
      <c r="W40" s="5"/>
      <c r="X40" s="48">
        <f>IFERROR('2590'!L31, 0)</f>
        <v>1</v>
      </c>
      <c r="Y40" s="48">
        <f>IFERROR('2590'!L34, 0)</f>
        <v>0.5</v>
      </c>
      <c r="Z40" s="48">
        <f>IFERROR('2590'!M34, 0)</f>
        <v>2</v>
      </c>
      <c r="AA40" s="48">
        <f>IFERROR('2590'!N34, 0)</f>
        <v>1</v>
      </c>
      <c r="AB40" s="5"/>
      <c r="AC40" s="5">
        <f>IFERROR('2590'!$N$28, 0)</f>
        <v>0.17499999999999999</v>
      </c>
      <c r="AD40" s="5">
        <f>IFERROR('2590'!$N$30, 0)</f>
        <v>0.82499999999999996</v>
      </c>
      <c r="AE40" s="5"/>
      <c r="AF40" s="5">
        <f>IFERROR('2590'!$S$22, 0)</f>
        <v>1</v>
      </c>
      <c r="AG40" s="5">
        <f>IFERROR('2590'!$U$22, 0)</f>
        <v>1</v>
      </c>
      <c r="AH40" s="5">
        <f>IFERROR('2590'!$U$24, 0)</f>
        <v>1</v>
      </c>
      <c r="AI40" s="5">
        <f>IFERROR('2590'!$S$24, 0)</f>
        <v>0.91666666666666663</v>
      </c>
      <c r="AJ40" s="5"/>
      <c r="AK40" s="5">
        <f>IFERROR('2590'!$G$68, 0)</f>
        <v>6.666666666666667</v>
      </c>
      <c r="AN40" s="43">
        <v>1089</v>
      </c>
      <c r="AO40">
        <v>2180</v>
      </c>
      <c r="AP40" s="43"/>
    </row>
    <row r="41" spans="1:42" x14ac:dyDescent="0.2">
      <c r="A41" s="4">
        <v>2600</v>
      </c>
      <c r="B41" s="5">
        <f>IFERROR('2600'!$D$20, 0)</f>
        <v>0</v>
      </c>
      <c r="C41" s="5">
        <f>IFERROR('2600'!$D$26, 0)</f>
        <v>0</v>
      </c>
      <c r="D41" s="5">
        <f>IFERROR('2600'!$D$32, 0)</f>
        <v>0</v>
      </c>
      <c r="E41" s="48">
        <f>IFERROR('2600'!$F$20, 0)</f>
        <v>0.83333333333333337</v>
      </c>
      <c r="F41" s="48">
        <f>IFERROR('2600'!$F$26, 0)</f>
        <v>0.45454545454545453</v>
      </c>
      <c r="G41" s="48">
        <f>IFERROR('2600'!$F$32, 0)</f>
        <v>0</v>
      </c>
      <c r="H41" s="5"/>
      <c r="I41" s="5">
        <f>IFERROR('2600'!$I$21, 0)</f>
        <v>0</v>
      </c>
      <c r="J41" s="5">
        <f>IFERROR('2600'!$I$24, 0)</f>
        <v>0</v>
      </c>
      <c r="K41" s="5">
        <f>IFERROR('2600'!$J$24, 0)</f>
        <v>0</v>
      </c>
      <c r="L41" s="5">
        <f>IFERROR('2600'!$K$24, 0)</f>
        <v>0</v>
      </c>
      <c r="M41" s="5"/>
      <c r="N41" s="48">
        <f>IFERROR('2600'!$I$26, 0)</f>
        <v>0.6</v>
      </c>
      <c r="O41" s="48">
        <f>IFERROR('2600'!$I$29, 0)</f>
        <v>1.3636363636363635</v>
      </c>
      <c r="P41" s="48">
        <f>IFERROR('2600'!$J$29, 0)</f>
        <v>5</v>
      </c>
      <c r="Q41" s="48">
        <f>IFERROR('2600'!$K$29, 0)</f>
        <v>1.4333685689819819</v>
      </c>
      <c r="R41" s="5"/>
      <c r="S41" s="48">
        <f>IFERROR('2600'!I31, 0)</f>
        <v>1</v>
      </c>
      <c r="T41" s="48">
        <f>IFERROR('2600'!$I$34, 0)</f>
        <v>5.6363636363636367</v>
      </c>
      <c r="U41" s="48">
        <f>IFERROR('2600'!$J$34, 0)</f>
        <v>9</v>
      </c>
      <c r="V41" s="48">
        <f>IFERROR('2600'!$K$34, 0)</f>
        <v>3.2022719207689807</v>
      </c>
      <c r="W41" s="5"/>
      <c r="X41" s="48">
        <f>IFERROR('2600'!L31, 0)</f>
        <v>1</v>
      </c>
      <c r="Y41" s="48">
        <f>IFERROR('2600'!L34, 0)</f>
        <v>4.25</v>
      </c>
      <c r="Z41" s="48">
        <f>IFERROR('2600'!M34, 0)</f>
        <v>8</v>
      </c>
      <c r="AA41" s="48">
        <f>IFERROR('2600'!N34, 0)</f>
        <v>3.3040379335998349</v>
      </c>
      <c r="AB41" s="5"/>
      <c r="AC41" s="5">
        <f>IFERROR('2600'!$N$28, 0)</f>
        <v>0.10526315789473684</v>
      </c>
      <c r="AD41" s="5">
        <f>IFERROR('2600'!$N$30, 0)</f>
        <v>0.89473684210526316</v>
      </c>
      <c r="AE41" s="5"/>
      <c r="AF41" s="5">
        <f>IFERROR('2600'!$S$22, 0)</f>
        <v>0</v>
      </c>
      <c r="AG41" s="5">
        <f>IFERROR('2600'!$U$22, 0)</f>
        <v>0</v>
      </c>
      <c r="AH41" s="5">
        <f>IFERROR('2600'!$U$24, 0)</f>
        <v>0</v>
      </c>
      <c r="AI41" s="5">
        <f>IFERROR('2600'!$S$24, 0)</f>
        <v>0</v>
      </c>
      <c r="AJ41" s="5"/>
      <c r="AK41" s="5">
        <f>IFERROR('2600'!$G$68, 0)</f>
        <v>7.4545454545454541</v>
      </c>
      <c r="AN41" s="43">
        <v>2539</v>
      </c>
      <c r="AO41">
        <v>293</v>
      </c>
      <c r="AP41" s="31"/>
    </row>
    <row r="42" spans="1:42" x14ac:dyDescent="0.2">
      <c r="A42" s="4">
        <v>2607</v>
      </c>
      <c r="B42" s="5">
        <f>IFERROR('2607'!$D$20, 0)</f>
        <v>0</v>
      </c>
      <c r="C42" s="5">
        <f>IFERROR('2607'!$D$26, 0)</f>
        <v>0</v>
      </c>
      <c r="D42" s="5">
        <f>IFERROR('2607'!$D$32, 0)</f>
        <v>0</v>
      </c>
      <c r="E42" s="48">
        <f>IFERROR('2607'!$F$20, 0)</f>
        <v>0.5</v>
      </c>
      <c r="F42" s="48">
        <f>IFERROR('2607'!$F$26, 0)</f>
        <v>8.3333333333333329E-2</v>
      </c>
      <c r="G42" s="48">
        <f>IFERROR('2607'!$F$32, 0)</f>
        <v>0</v>
      </c>
      <c r="H42" s="5"/>
      <c r="I42" s="5">
        <f>IFERROR('2607'!$I$21, 0)</f>
        <v>0.92307692307692313</v>
      </c>
      <c r="J42" s="5">
        <f>IFERROR('2607'!$I$24, 0)</f>
        <v>3</v>
      </c>
      <c r="K42" s="5">
        <f>IFERROR('2607'!$J$24, 0)</f>
        <v>6</v>
      </c>
      <c r="L42" s="5">
        <f>IFERROR('2607'!$K$24, 0)</f>
        <v>2.0449494325821802</v>
      </c>
      <c r="M42" s="5"/>
      <c r="N42" s="48">
        <f>IFERROR('2607'!$I$26, 0)</f>
        <v>0.8125</v>
      </c>
      <c r="O42" s="48">
        <f>IFERROR('2607'!$I$29, 0)</f>
        <v>1.0833333333333333</v>
      </c>
      <c r="P42" s="48">
        <f>IFERROR('2607'!$J$29, 0)</f>
        <v>4</v>
      </c>
      <c r="Q42" s="48">
        <f>IFERROR('2607'!$K$29, 0)</f>
        <v>1.4433756729740643</v>
      </c>
      <c r="R42" s="5"/>
      <c r="S42" s="48">
        <f>IFERROR('2607'!I31, 0)</f>
        <v>1</v>
      </c>
      <c r="T42" s="48">
        <f>IFERROR('2607'!$I$34, 0)</f>
        <v>0.41666666666666669</v>
      </c>
      <c r="U42" s="48">
        <f>IFERROR('2607'!$J$34, 0)</f>
        <v>3</v>
      </c>
      <c r="V42" s="48">
        <f>IFERROR('2607'!$K$34, 0)</f>
        <v>0.99620491989562188</v>
      </c>
      <c r="W42" s="5"/>
      <c r="X42" s="48">
        <f>IFERROR('2607'!L31, 0)</f>
        <v>1</v>
      </c>
      <c r="Y42" s="48">
        <f>IFERROR('2607'!L34, 0)</f>
        <v>0.5</v>
      </c>
      <c r="Z42" s="48">
        <f>IFERROR('2607'!M34, 0)</f>
        <v>2</v>
      </c>
      <c r="AA42" s="48">
        <f>IFERROR('2607'!N34, 0)</f>
        <v>1</v>
      </c>
      <c r="AB42" s="5"/>
      <c r="AC42" s="5">
        <f>IFERROR('2607'!$N$28, 0)</f>
        <v>6.3492063492063489E-2</v>
      </c>
      <c r="AD42" s="5">
        <f>IFERROR('2607'!$N$30, 0)</f>
        <v>0.93650793650793651</v>
      </c>
      <c r="AE42" s="5"/>
      <c r="AF42" s="5">
        <f>IFERROR('2607'!$S$22, 0)</f>
        <v>1</v>
      </c>
      <c r="AG42" s="5">
        <f>IFERROR('2607'!$U$22, 0)</f>
        <v>1</v>
      </c>
      <c r="AH42" s="5">
        <f>IFERROR('2607'!$U$24, 0)</f>
        <v>0</v>
      </c>
      <c r="AI42" s="5">
        <f>IFERROR('2607'!$S$24, 0)</f>
        <v>0.58333333333333337</v>
      </c>
      <c r="AJ42" s="5"/>
      <c r="AK42" s="5">
        <f>IFERROR('2607'!$G$68, 0)</f>
        <v>4.583333333333333</v>
      </c>
      <c r="AN42" s="43">
        <v>5992</v>
      </c>
      <c r="AO42">
        <v>1143</v>
      </c>
      <c r="AP42" s="43"/>
    </row>
    <row r="43" spans="1:42" x14ac:dyDescent="0.2">
      <c r="A43" s="4">
        <v>2729</v>
      </c>
      <c r="B43" s="5">
        <f>IFERROR('2729'!$D$20, 0)</f>
        <v>1</v>
      </c>
      <c r="C43" s="5">
        <f>IFERROR('2729'!$D$26, 0)</f>
        <v>0.25</v>
      </c>
      <c r="D43" s="5">
        <f>IFERROR('2729'!$D$32, 0)</f>
        <v>0</v>
      </c>
      <c r="E43" s="48">
        <f>IFERROR('2729'!$F$20, 0)</f>
        <v>1</v>
      </c>
      <c r="F43" s="48">
        <f>IFERROR('2729'!$F$26, 0)</f>
        <v>0.66666666666666663</v>
      </c>
      <c r="G43" s="48">
        <f>IFERROR('2729'!$F$32, 0)</f>
        <v>0</v>
      </c>
      <c r="H43" s="5"/>
      <c r="I43" s="5">
        <f>IFERROR('2729'!$I$21, 0)</f>
        <v>0.88</v>
      </c>
      <c r="J43" s="5">
        <f>IFERROR('2729'!$I$24, 0)</f>
        <v>1.8333333333333333</v>
      </c>
      <c r="K43" s="5">
        <f>IFERROR('2729'!$J$24, 0)</f>
        <v>4</v>
      </c>
      <c r="L43" s="5">
        <f>IFERROR('2729'!$K$24, 0)</f>
        <v>1.4668044012461754</v>
      </c>
      <c r="M43" s="5"/>
      <c r="N43" s="48">
        <f>IFERROR('2729'!$I$26, 0)</f>
        <v>1</v>
      </c>
      <c r="O43" s="48">
        <f>IFERROR('2729'!$I$29, 0)</f>
        <v>0.33333333333333331</v>
      </c>
      <c r="P43" s="48">
        <f>IFERROR('2729'!$J$29, 0)</f>
        <v>2</v>
      </c>
      <c r="Q43" s="48">
        <f>IFERROR('2729'!$K$29, 0)</f>
        <v>0.6513389472789296</v>
      </c>
      <c r="R43" s="5"/>
      <c r="S43" s="48">
        <f>IFERROR('2729'!I31, 0)</f>
        <v>0.9375</v>
      </c>
      <c r="T43" s="48">
        <f>IFERROR('2729'!$I$34, 0)</f>
        <v>1.25</v>
      </c>
      <c r="U43" s="48">
        <f>IFERROR('2729'!$J$34, 0)</f>
        <v>4</v>
      </c>
      <c r="V43" s="48">
        <f>IFERROR('2729'!$K$34, 0)</f>
        <v>1.864744681524183</v>
      </c>
      <c r="W43" s="5"/>
      <c r="X43" s="48">
        <f>IFERROR('2729'!L31, 0)</f>
        <v>0</v>
      </c>
      <c r="Y43" s="48">
        <f>IFERROR('2729'!L34, 0)</f>
        <v>0</v>
      </c>
      <c r="Z43" s="48">
        <f>IFERROR('2729'!M34, 0)</f>
        <v>0</v>
      </c>
      <c r="AA43" s="48">
        <f>IFERROR('2729'!N34, 0)</f>
        <v>0</v>
      </c>
      <c r="AB43" s="5"/>
      <c r="AC43" s="5">
        <f>IFERROR('2729'!$N$28, 0)</f>
        <v>8.1632653061224483E-2</v>
      </c>
      <c r="AD43" s="5">
        <f>IFERROR('2729'!$N$30, 0)</f>
        <v>0.91836734693877553</v>
      </c>
      <c r="AE43" s="5"/>
      <c r="AF43" s="5">
        <f>IFERROR('2729'!$S$22, 0)</f>
        <v>0.5</v>
      </c>
      <c r="AG43" s="5">
        <f>IFERROR('2729'!$U$22, 0)</f>
        <v>0.42857142857142855</v>
      </c>
      <c r="AH43" s="5">
        <f>IFERROR('2729'!$U$24, 0)</f>
        <v>0</v>
      </c>
      <c r="AI43" s="5">
        <f>IFERROR('2729'!$S$24, 0)</f>
        <v>0.33333333333333331</v>
      </c>
      <c r="AJ43" s="5"/>
      <c r="AK43" s="5">
        <f>IFERROR('2729'!$G$68, 0)</f>
        <v>4.333333333333333</v>
      </c>
      <c r="AN43" s="43">
        <v>41</v>
      </c>
      <c r="AO43">
        <v>2495</v>
      </c>
      <c r="AP43" s="43"/>
    </row>
    <row r="44" spans="1:42" x14ac:dyDescent="0.2">
      <c r="A44" s="4">
        <v>3142</v>
      </c>
      <c r="B44" s="5">
        <f>IFERROR('3142'!$D$20, 0)</f>
        <v>0</v>
      </c>
      <c r="C44" s="5">
        <f>IFERROR('3142'!$D$26, 0)</f>
        <v>0</v>
      </c>
      <c r="D44" s="5">
        <f>IFERROR('3142'!$D$32, 0)</f>
        <v>0</v>
      </c>
      <c r="E44" s="48">
        <f>IFERROR('3142'!$F$20, 0)</f>
        <v>0.75</v>
      </c>
      <c r="F44" s="48">
        <f>IFERROR('3142'!$F$26, 0)</f>
        <v>0.25</v>
      </c>
      <c r="G44" s="48">
        <f>IFERROR('3142'!$F$32, 0)</f>
        <v>0</v>
      </c>
      <c r="H44" s="5"/>
      <c r="I44" s="5">
        <f>IFERROR('3142'!$I$21, 0)</f>
        <v>0.82352941176470584</v>
      </c>
      <c r="J44" s="5">
        <f>IFERROR('3142'!$I$24, 0)</f>
        <v>2.3333333333333335</v>
      </c>
      <c r="K44" s="5">
        <f>IFERROR('3142'!$J$24, 0)</f>
        <v>4</v>
      </c>
      <c r="L44" s="5">
        <f>IFERROR('3142'!$K$24, 0)</f>
        <v>1.4974726182552529</v>
      </c>
      <c r="M44" s="5"/>
      <c r="N44" s="48">
        <f>IFERROR('3142'!$I$26, 0)</f>
        <v>0.7142857142857143</v>
      </c>
      <c r="O44" s="48">
        <f>IFERROR('3142'!$I$29, 0)</f>
        <v>0.41666666666666669</v>
      </c>
      <c r="P44" s="48">
        <f>IFERROR('3142'!$J$29, 0)</f>
        <v>2</v>
      </c>
      <c r="Q44" s="48">
        <f>IFERROR('3142'!$K$29, 0)</f>
        <v>0.66855792342152143</v>
      </c>
      <c r="R44" s="5"/>
      <c r="S44" s="48">
        <f>IFERROR('3142'!I31, 0)</f>
        <v>0</v>
      </c>
      <c r="T44" s="48">
        <f>IFERROR('3142'!$I$34, 0)</f>
        <v>0.41666666666666669</v>
      </c>
      <c r="U44" s="48">
        <f>IFERROR('3142'!$J$34, 0)</f>
        <v>5</v>
      </c>
      <c r="V44" s="48">
        <f>IFERROR('3142'!$K$34, 0)</f>
        <v>1.4433756729740645</v>
      </c>
      <c r="W44" s="5"/>
      <c r="X44" s="48">
        <f>IFERROR('3142'!L31, 0)</f>
        <v>0</v>
      </c>
      <c r="Y44" s="48">
        <f>IFERROR('3142'!L34, 0)</f>
        <v>0</v>
      </c>
      <c r="Z44" s="48">
        <f>IFERROR('3142'!M34, 0)</f>
        <v>0</v>
      </c>
      <c r="AA44" s="48">
        <f>IFERROR('3142'!N34, 0)</f>
        <v>0</v>
      </c>
      <c r="AB44" s="5"/>
      <c r="AC44" s="5">
        <f>IFERROR('3142'!$N$28, 0)</f>
        <v>4.7619047619047616E-2</v>
      </c>
      <c r="AD44" s="5">
        <f>IFERROR('3142'!$N$30, 0)</f>
        <v>0.95238095238095233</v>
      </c>
      <c r="AE44" s="5"/>
      <c r="AF44" s="5">
        <f>IFERROR('3142'!$S$22, 0)</f>
        <v>0.88888888888888884</v>
      </c>
      <c r="AG44" s="5">
        <f>IFERROR('3142'!$U$22, 0)</f>
        <v>0.8571428571428571</v>
      </c>
      <c r="AH44" s="5">
        <f>IFERROR('3142'!$U$24, 0)</f>
        <v>1</v>
      </c>
      <c r="AI44" s="5">
        <f>IFERROR('3142'!$S$24, 0)</f>
        <v>0.66666666666666663</v>
      </c>
      <c r="AJ44" s="5"/>
      <c r="AK44" s="5">
        <f>IFERROR('3142'!$G$68, 0)</f>
        <v>3.4166666666666665</v>
      </c>
      <c r="AN44" s="43">
        <v>56</v>
      </c>
      <c r="AO44">
        <v>102</v>
      </c>
      <c r="AP44" s="43"/>
    </row>
    <row r="45" spans="1:42" x14ac:dyDescent="0.2">
      <c r="A45" s="4">
        <v>3314</v>
      </c>
      <c r="B45" s="5">
        <f>IFERROR('3314'!$D$20, 0)</f>
        <v>1</v>
      </c>
      <c r="C45" s="5">
        <f>IFERROR('3314'!$D$26, 0)</f>
        <v>0.75</v>
      </c>
      <c r="D45" s="5">
        <f>IFERROR('3314'!$D$32, 0)</f>
        <v>0.83333333333333337</v>
      </c>
      <c r="E45" s="48">
        <f>IFERROR('3314'!$F$20, 0)</f>
        <v>1</v>
      </c>
      <c r="F45" s="48">
        <f>IFERROR('3314'!$F$26, 0)</f>
        <v>0.16666666666666666</v>
      </c>
      <c r="G45" s="48">
        <f>IFERROR('3314'!$F$32, 0)</f>
        <v>0</v>
      </c>
      <c r="H45" s="5"/>
      <c r="I45" s="5">
        <f>IFERROR('3314'!$I$21, 0)</f>
        <v>0.90566037735849059</v>
      </c>
      <c r="J45" s="5">
        <f>IFERROR('3314'!$I$24, 0)</f>
        <v>4</v>
      </c>
      <c r="K45" s="5">
        <f>IFERROR('3314'!$J$24, 0)</f>
        <v>6</v>
      </c>
      <c r="L45" s="5">
        <f>IFERROR('3314'!$K$24, 0)</f>
        <v>1.4770978917519928</v>
      </c>
      <c r="M45" s="5"/>
      <c r="N45" s="48">
        <f>IFERROR('3314'!$I$26, 0)</f>
        <v>1</v>
      </c>
      <c r="O45" s="48">
        <f>IFERROR('3314'!$I$29, 0)</f>
        <v>8.3333333333333329E-2</v>
      </c>
      <c r="P45" s="48">
        <f>IFERROR('3314'!$J$29, 0)</f>
        <v>1</v>
      </c>
      <c r="Q45" s="48">
        <f>IFERROR('3314'!$K$29, 0)</f>
        <v>0.28867513459481287</v>
      </c>
      <c r="R45" s="5"/>
      <c r="S45" s="48">
        <f>IFERROR('3314'!I31, 0)</f>
        <v>0</v>
      </c>
      <c r="T45" s="48">
        <f>IFERROR('3314'!$I$34, 0)</f>
        <v>0</v>
      </c>
      <c r="U45" s="48">
        <f>IFERROR('3314'!$J$34, 0)</f>
        <v>0</v>
      </c>
      <c r="V45" s="48">
        <f>IFERROR('3314'!$K$34, 0)</f>
        <v>0</v>
      </c>
      <c r="W45" s="5"/>
      <c r="X45" s="48">
        <f>IFERROR('3314'!L31, 0)</f>
        <v>0</v>
      </c>
      <c r="Y45" s="48">
        <f>IFERROR('3314'!L34, 0)</f>
        <v>0</v>
      </c>
      <c r="Z45" s="48">
        <f>IFERROR('3314'!M34, 0)</f>
        <v>0</v>
      </c>
      <c r="AA45" s="48">
        <f>IFERROR('3314'!N34, 0)</f>
        <v>0</v>
      </c>
      <c r="AB45" s="5"/>
      <c r="AC45" s="5">
        <f>IFERROR('3314'!$N$28, 0)</f>
        <v>0.25714285714285712</v>
      </c>
      <c r="AD45" s="5">
        <f>IFERROR('3314'!$N$30, 0)</f>
        <v>0.74285714285714288</v>
      </c>
      <c r="AE45" s="5"/>
      <c r="AF45" s="5">
        <f>IFERROR('3314'!$S$22, 0)</f>
        <v>0.8</v>
      </c>
      <c r="AG45" s="5">
        <f>IFERROR('3314'!$U$22, 0)</f>
        <v>0.77777777777777779</v>
      </c>
      <c r="AH45" s="5">
        <f>IFERROR('3314'!$U$24, 0)</f>
        <v>1</v>
      </c>
      <c r="AI45" s="5">
        <f>IFERROR('3314'!$S$24, 0)</f>
        <v>0.66666666666666663</v>
      </c>
      <c r="AJ45" s="5"/>
      <c r="AK45" s="5">
        <f>IFERROR('3314'!$G$68, 0)</f>
        <v>5</v>
      </c>
      <c r="AN45" s="43">
        <v>3637</v>
      </c>
      <c r="AO45">
        <v>321</v>
      </c>
      <c r="AP45" s="43"/>
    </row>
    <row r="46" spans="1:42" x14ac:dyDescent="0.2">
      <c r="A46" s="4">
        <v>3637</v>
      </c>
      <c r="B46" s="5">
        <f>IFERROR('3637'!$D$20, 0)</f>
        <v>0</v>
      </c>
      <c r="C46" s="5">
        <f>IFERROR('3637'!$D$26, 0)</f>
        <v>0</v>
      </c>
      <c r="D46" s="5">
        <f>IFERROR('3637'!$D$32, 0)</f>
        <v>0</v>
      </c>
      <c r="E46" s="48">
        <f>IFERROR('3637'!$F$20, 0)</f>
        <v>1</v>
      </c>
      <c r="F46" s="48">
        <f>IFERROR('3637'!$F$26, 0)</f>
        <v>0.16666666666666666</v>
      </c>
      <c r="G46" s="48">
        <f>IFERROR('3637'!$F$32, 0)</f>
        <v>0</v>
      </c>
      <c r="H46" s="5"/>
      <c r="I46" s="5">
        <f>IFERROR('3637'!$I$21, 0)</f>
        <v>0.82352941176470584</v>
      </c>
      <c r="J46" s="5">
        <f>IFERROR('3637'!$I$24, 0)</f>
        <v>1.1666666666666667</v>
      </c>
      <c r="K46" s="5">
        <f>IFERROR('3637'!$J$24, 0)</f>
        <v>4</v>
      </c>
      <c r="L46" s="5">
        <f>IFERROR('3637'!$K$24, 0)</f>
        <v>1.80067327475704</v>
      </c>
      <c r="M46" s="5"/>
      <c r="N46" s="48">
        <f>IFERROR('3637'!$I$26, 0)</f>
        <v>1</v>
      </c>
      <c r="O46" s="48">
        <f>IFERROR('3637'!$I$29, 0)</f>
        <v>1.5</v>
      </c>
      <c r="P46" s="48">
        <f>IFERROR('3637'!$J$29, 0)</f>
        <v>6</v>
      </c>
      <c r="Q46" s="48">
        <f>IFERROR('3637'!$K$29, 0)</f>
        <v>1.9306145983268455</v>
      </c>
      <c r="R46" s="5"/>
      <c r="S46" s="48">
        <f>IFERROR('3637'!I31, 0)</f>
        <v>0.88888888888888884</v>
      </c>
      <c r="T46" s="48">
        <f>IFERROR('3637'!$I$34, 0)</f>
        <v>2.6666666666666665</v>
      </c>
      <c r="U46" s="48">
        <f>IFERROR('3637'!$J$34, 0)</f>
        <v>8</v>
      </c>
      <c r="V46" s="48">
        <f>IFERROR('3637'!$K$34, 0)</f>
        <v>2.6742316936860862</v>
      </c>
      <c r="W46" s="5"/>
      <c r="X46" s="48">
        <f>IFERROR('3637'!L31, 0)</f>
        <v>0.75</v>
      </c>
      <c r="Y46" s="48">
        <f>IFERROR('3637'!L34, 0)</f>
        <v>2.25</v>
      </c>
      <c r="Z46" s="48">
        <f>IFERROR('3637'!M34, 0)</f>
        <v>5</v>
      </c>
      <c r="AA46" s="48">
        <f>IFERROR('3637'!N34, 0)</f>
        <v>2.6299556396765835</v>
      </c>
      <c r="AB46" s="5"/>
      <c r="AC46" s="5">
        <f>IFERROR('3637'!$N$28, 0)</f>
        <v>0</v>
      </c>
      <c r="AD46" s="5">
        <f>IFERROR('3637'!$N$30, 0)</f>
        <v>1</v>
      </c>
      <c r="AE46" s="5"/>
      <c r="AF46" s="5">
        <f>IFERROR('3637'!$S$22, 0)</f>
        <v>0.7142857142857143</v>
      </c>
      <c r="AG46" s="5">
        <f>IFERROR('3637'!$U$22, 0)</f>
        <v>0.83333333333333337</v>
      </c>
      <c r="AH46" s="5">
        <f>IFERROR('3637'!$U$24, 0)</f>
        <v>0</v>
      </c>
      <c r="AI46" s="5">
        <f>IFERROR('3637'!$S$24, 0)</f>
        <v>0.41666666666666669</v>
      </c>
      <c r="AJ46" s="5"/>
      <c r="AK46" s="5">
        <f>IFERROR('3637'!$G$68, 0)</f>
        <v>5.5</v>
      </c>
      <c r="AN46" s="43">
        <v>3142</v>
      </c>
      <c r="AO46">
        <v>834</v>
      </c>
      <c r="AP46" s="43"/>
    </row>
    <row r="47" spans="1:42" x14ac:dyDescent="0.2">
      <c r="A47" s="4">
        <v>3929</v>
      </c>
      <c r="B47" s="5">
        <f>IFERROR('3929'!$D$20, 0)</f>
        <v>0.4</v>
      </c>
      <c r="C47" s="5">
        <f>IFERROR('3929'!$D$26, 0)</f>
        <v>0.16666666666666666</v>
      </c>
      <c r="D47" s="5">
        <f>IFERROR('3929'!$D$32, 0)</f>
        <v>0</v>
      </c>
      <c r="E47" s="48">
        <f>IFERROR('3929'!$F$20, 0)</f>
        <v>0.66666666666666663</v>
      </c>
      <c r="F47" s="48">
        <f>IFERROR('3929'!$F$26, 0)</f>
        <v>0.16666666666666666</v>
      </c>
      <c r="G47" s="48">
        <f>IFERROR('3929'!$F$32, 0)</f>
        <v>0</v>
      </c>
      <c r="H47" s="5"/>
      <c r="I47" s="5">
        <f>IFERROR('3929'!$I$21, 0)</f>
        <v>0.81081081081081086</v>
      </c>
      <c r="J47" s="5">
        <f>IFERROR('3929'!$I$24, 0)</f>
        <v>2.5</v>
      </c>
      <c r="K47" s="5">
        <f>IFERROR('3929'!$J$24, 0)</f>
        <v>5</v>
      </c>
      <c r="L47" s="5">
        <f>IFERROR('3929'!$K$24, 0)</f>
        <v>1.6787441193290353</v>
      </c>
      <c r="M47" s="5"/>
      <c r="N47" s="48">
        <f>IFERROR('3929'!$I$26, 0)</f>
        <v>0.5</v>
      </c>
      <c r="O47" s="48">
        <f>IFERROR('3929'!$I$29, 0)</f>
        <v>0.16666666666666666</v>
      </c>
      <c r="P47" s="48">
        <f>IFERROR('3929'!$J$29, 0)</f>
        <v>1</v>
      </c>
      <c r="Q47" s="48">
        <f>IFERROR('3929'!$K$29, 0)</f>
        <v>0.38924947208076149</v>
      </c>
      <c r="R47" s="5"/>
      <c r="S47" s="48">
        <f>IFERROR('3929'!I31, 0)</f>
        <v>0.58333333333333337</v>
      </c>
      <c r="T47" s="48">
        <f>IFERROR('3929'!$I$34, 0)</f>
        <v>0.58333333333333337</v>
      </c>
      <c r="U47" s="48">
        <f>IFERROR('3929'!$J$34, 0)</f>
        <v>4</v>
      </c>
      <c r="V47" s="48">
        <f>IFERROR('3929'!$K$34, 0)</f>
        <v>1.378954368902449</v>
      </c>
      <c r="W47" s="5"/>
      <c r="X47" s="48">
        <f>IFERROR('3929'!L31, 0)</f>
        <v>0.75</v>
      </c>
      <c r="Y47" s="48">
        <f>IFERROR('3929'!L34, 0)</f>
        <v>0.75</v>
      </c>
      <c r="Z47" s="48">
        <f>IFERROR('3929'!M34, 0)</f>
        <v>3</v>
      </c>
      <c r="AA47" s="48">
        <f>IFERROR('3929'!N34, 0)</f>
        <v>1.5</v>
      </c>
      <c r="AB47" s="5"/>
      <c r="AC47" s="5">
        <f>IFERROR('3929'!$N$28, 0)</f>
        <v>0.13235294117647059</v>
      </c>
      <c r="AD47" s="5">
        <f>IFERROR('3929'!$N$30, 0)</f>
        <v>0.86764705882352944</v>
      </c>
      <c r="AE47" s="5"/>
      <c r="AF47" s="5">
        <f>IFERROR('3929'!$S$22, 0)</f>
        <v>0.5714285714285714</v>
      </c>
      <c r="AG47" s="5">
        <f>IFERROR('3929'!$U$22, 0)</f>
        <v>0.4</v>
      </c>
      <c r="AH47" s="5">
        <f>IFERROR('3929'!$U$24, 0)</f>
        <v>1</v>
      </c>
      <c r="AI47" s="5">
        <f>IFERROR('3929'!$S$24, 0)</f>
        <v>0.33333333333333331</v>
      </c>
      <c r="AJ47" s="5"/>
      <c r="AK47" s="5">
        <f>IFERROR('3929'!$G$68, 0)</f>
        <v>3.5833333333333335</v>
      </c>
      <c r="AN47" s="43">
        <v>219</v>
      </c>
      <c r="AO47">
        <v>316</v>
      </c>
      <c r="AP47" s="43"/>
    </row>
    <row r="48" spans="1:42" x14ac:dyDescent="0.2">
      <c r="A48" s="45">
        <v>3974</v>
      </c>
      <c r="B48" s="5">
        <f>IFERROR('3974'!$D$20, 0)</f>
        <v>0</v>
      </c>
      <c r="C48" s="5">
        <f>IFERROR('3974'!$D$26, 0)</f>
        <v>0</v>
      </c>
      <c r="D48" s="5">
        <f>IFERROR('3974'!$D$32, 0)</f>
        <v>0</v>
      </c>
      <c r="E48" s="48">
        <f>IFERROR('3974'!$F$20, 0)</f>
        <v>0.66666666666666663</v>
      </c>
      <c r="F48" s="48">
        <f>IFERROR('3974'!$F$26, 0)</f>
        <v>0.16666666666666666</v>
      </c>
      <c r="G48" s="48">
        <f>IFERROR('3974'!$F$32, 0)</f>
        <v>0</v>
      </c>
      <c r="H48" s="5"/>
      <c r="I48" s="5">
        <f>IFERROR('3974'!$I$21, 0)</f>
        <v>0.54545454545454541</v>
      </c>
      <c r="J48" s="5">
        <f>IFERROR('3974'!$I$24, 0)</f>
        <v>0.5</v>
      </c>
      <c r="K48" s="5">
        <f>IFERROR('3974'!$J$24, 0)</f>
        <v>3</v>
      </c>
      <c r="L48" s="5">
        <f>IFERROR('3974'!$K$24, 0)</f>
        <v>1</v>
      </c>
      <c r="M48" s="5"/>
      <c r="N48" s="48">
        <f>IFERROR('3974'!$I$26, 0)</f>
        <v>0.7</v>
      </c>
      <c r="O48" s="48">
        <f>IFERROR('3974'!$I$29, 0)</f>
        <v>0.58333333333333337</v>
      </c>
      <c r="P48" s="48">
        <f>IFERROR('3974'!$J$29, 0)</f>
        <v>1</v>
      </c>
      <c r="Q48" s="48">
        <f>IFERROR('3974'!$K$29, 0)</f>
        <v>0.51492865054443726</v>
      </c>
      <c r="R48" s="5"/>
      <c r="S48" s="48">
        <f>IFERROR('3974'!I31, 0)</f>
        <v>1</v>
      </c>
      <c r="T48" s="48">
        <f>IFERROR('3974'!$I$34, 0)</f>
        <v>0.91666666666666663</v>
      </c>
      <c r="U48" s="48">
        <f>IFERROR('3974'!$J$34, 0)</f>
        <v>7</v>
      </c>
      <c r="V48" s="48">
        <f>IFERROR('3974'!$K$34, 0)</f>
        <v>2.1087839379532691</v>
      </c>
      <c r="W48" s="5"/>
      <c r="X48" s="48">
        <f>IFERROR('3974'!L31, 0)</f>
        <v>1</v>
      </c>
      <c r="Y48" s="48">
        <f>IFERROR('3974'!L35, 0)</f>
        <v>0</v>
      </c>
      <c r="Z48" s="48">
        <f>IFERROR('3974'!M35, 0)</f>
        <v>0</v>
      </c>
      <c r="AA48" s="48">
        <f>IFERROR('3974'!N35, 0)</f>
        <v>0</v>
      </c>
      <c r="AB48" s="5"/>
      <c r="AC48" s="5">
        <f>IFERROR('3974'!$N$28, 0)</f>
        <v>0.421875</v>
      </c>
      <c r="AD48" s="5">
        <f>IFERROR('3974'!$N$30, 0)</f>
        <v>0.578125</v>
      </c>
      <c r="AE48" s="5"/>
      <c r="AF48" s="5">
        <f>IFERROR('3974'!$S$22, 0)</f>
        <v>0</v>
      </c>
      <c r="AG48" s="5">
        <f>IFERROR('3974'!$U$22, 0)</f>
        <v>0</v>
      </c>
      <c r="AH48" s="5">
        <f>IFERROR('3974'!$U$24, 0)</f>
        <v>0</v>
      </c>
      <c r="AI48" s="5">
        <f>IFERROR('3974'!$S$24, 0)</f>
        <v>0</v>
      </c>
      <c r="AJ48" s="5"/>
      <c r="AK48" s="5">
        <f>IFERROR('3974'!$G$68, 0)</f>
        <v>2.1666666666666665</v>
      </c>
      <c r="AN48" s="43">
        <v>2729</v>
      </c>
      <c r="AO48">
        <v>203</v>
      </c>
      <c r="AP48" s="43"/>
    </row>
    <row r="49" spans="1:42" x14ac:dyDescent="0.2">
      <c r="A49" s="4">
        <v>4342</v>
      </c>
      <c r="B49" s="5">
        <f>IFERROR('4342'!$D$20, 0)</f>
        <v>0</v>
      </c>
      <c r="C49" s="5">
        <f>IFERROR('4342'!$D$26, 0)</f>
        <v>0</v>
      </c>
      <c r="D49" s="5">
        <f>IFERROR('4342'!$D$32, 0)</f>
        <v>0</v>
      </c>
      <c r="E49" s="48">
        <f>IFERROR('4342'!$F$20, 0)</f>
        <v>0.90909090909090906</v>
      </c>
      <c r="F49" s="48">
        <f>IFERROR('4342'!$F$26, 0)</f>
        <v>0.91666666666666663</v>
      </c>
      <c r="G49" s="48">
        <f>IFERROR('4342'!$F$32, 0)</f>
        <v>0.66666666666666663</v>
      </c>
      <c r="H49" s="5"/>
      <c r="I49" s="5">
        <f>IFERROR('4342'!$I$21, 0)</f>
        <v>0.83333333333333337</v>
      </c>
      <c r="J49" s="5">
        <f>IFERROR('4342'!$I$24, 0)</f>
        <v>1.6666666666666667</v>
      </c>
      <c r="K49" s="5">
        <f>IFERROR('4342'!$J$24, 0)</f>
        <v>5</v>
      </c>
      <c r="L49" s="5">
        <f>IFERROR('4342'!$K$24, 0)</f>
        <v>1.5569978883230458</v>
      </c>
      <c r="M49" s="5"/>
      <c r="N49" s="48">
        <f>IFERROR('4342'!$I$26, 0)</f>
        <v>0.8666666666666667</v>
      </c>
      <c r="O49" s="48">
        <f>IFERROR('4342'!$I$29, 0)</f>
        <v>1.0833333333333333</v>
      </c>
      <c r="P49" s="48">
        <f>IFERROR('4342'!$J$29, 0)</f>
        <v>4</v>
      </c>
      <c r="Q49" s="48">
        <f>IFERROR('4342'!$K$29, 0)</f>
        <v>1.5642792899510294</v>
      </c>
      <c r="R49" s="5"/>
      <c r="S49" s="48">
        <f>IFERROR('4342'!I31, 0)</f>
        <v>1</v>
      </c>
      <c r="T49" s="48">
        <f>IFERROR('4342'!$I$34, 0)</f>
        <v>1.9166666666666667</v>
      </c>
      <c r="U49" s="48">
        <f>IFERROR('4342'!$J$34, 0)</f>
        <v>8</v>
      </c>
      <c r="V49" s="48">
        <f>IFERROR('4342'!$K$34, 0)</f>
        <v>3.058767824804721</v>
      </c>
      <c r="W49" s="5"/>
      <c r="X49" s="48">
        <f>IFERROR('4342'!L31, 0)</f>
        <v>1</v>
      </c>
      <c r="Y49" s="48">
        <f>IFERROR('4342'!L34, 0)</f>
        <v>2</v>
      </c>
      <c r="Z49" s="48">
        <f>IFERROR('4342'!M34, 0)</f>
        <v>5</v>
      </c>
      <c r="AA49" s="48">
        <f>IFERROR('4342'!N34, 0)</f>
        <v>2.4494897427831779</v>
      </c>
      <c r="AB49" s="5"/>
      <c r="AC49" s="5">
        <f>IFERROR('4342'!$N$28, 0)</f>
        <v>8.9743589743589744E-2</v>
      </c>
      <c r="AD49" s="5">
        <f>IFERROR('4342'!$N$30, 0)</f>
        <v>0.91025641025641024</v>
      </c>
      <c r="AE49" s="5"/>
      <c r="AF49" s="5">
        <f>IFERROR('4342'!$S$22, 0)</f>
        <v>1</v>
      </c>
      <c r="AG49" s="5">
        <f>IFERROR('4342'!$U$22, 0)</f>
        <v>1</v>
      </c>
      <c r="AH49" s="5">
        <f>IFERROR('4342'!$U$24, 0)</f>
        <v>1</v>
      </c>
      <c r="AI49" s="5">
        <f>IFERROR('4342'!$S$24, 0)</f>
        <v>0.91666666666666663</v>
      </c>
      <c r="AJ49" s="5"/>
      <c r="AK49" s="5">
        <f>IFERROR('4342'!$G$68, 0)</f>
        <v>5.583333333333333</v>
      </c>
      <c r="AN49" s="43">
        <v>3929</v>
      </c>
      <c r="AO49">
        <v>219</v>
      </c>
      <c r="AP49" s="43"/>
    </row>
    <row r="50" spans="1:42" x14ac:dyDescent="0.2">
      <c r="A50" s="4">
        <v>4361</v>
      </c>
      <c r="B50" s="5">
        <f>IFERROR('4361'!$D$20, 0)</f>
        <v>1</v>
      </c>
      <c r="C50" s="5">
        <f>IFERROR('4361'!$D$26, 0)</f>
        <v>0.25</v>
      </c>
      <c r="D50" s="5">
        <f>IFERROR('4361'!$D$32, 0)</f>
        <v>0</v>
      </c>
      <c r="E50" s="48">
        <f>IFERROR('4361'!$F$20, 0)</f>
        <v>1</v>
      </c>
      <c r="F50" s="48">
        <f>IFERROR('4361'!$F$26, 0)</f>
        <v>0.58333333333333337</v>
      </c>
      <c r="G50" s="48">
        <f>IFERROR('4361'!$F$32, 0)</f>
        <v>0</v>
      </c>
      <c r="H50" s="5"/>
      <c r="I50" s="5">
        <f>IFERROR('4361'!$I$21, 0)</f>
        <v>0.82692307692307687</v>
      </c>
      <c r="J50" s="5">
        <f>IFERROR('4361'!$I$24, 0)</f>
        <v>3.5833333333333335</v>
      </c>
      <c r="K50" s="5">
        <f>IFERROR('4361'!$J$24, 0)</f>
        <v>6</v>
      </c>
      <c r="L50" s="5">
        <f>IFERROR('4361'!$K$24, 0)</f>
        <v>1.4433756729740641</v>
      </c>
      <c r="M50" s="5"/>
      <c r="N50" s="48">
        <f>IFERROR('4361'!$I$26, 0)</f>
        <v>1</v>
      </c>
      <c r="O50" s="48">
        <f>IFERROR('4361'!$I$29, 0)</f>
        <v>0.16666666666666666</v>
      </c>
      <c r="P50" s="48">
        <f>IFERROR('4361'!$J$29, 0)</f>
        <v>2</v>
      </c>
      <c r="Q50" s="48">
        <f>IFERROR('4361'!$K$29, 0)</f>
        <v>0.57735026918962573</v>
      </c>
      <c r="R50" s="5"/>
      <c r="S50" s="48">
        <f>IFERROR('4361'!I31, 0)</f>
        <v>0</v>
      </c>
      <c r="T50" s="48">
        <f>IFERROR('4361'!$I$34, 0)</f>
        <v>0</v>
      </c>
      <c r="U50" s="48">
        <f>IFERROR('4361'!$J$34, 0)</f>
        <v>0</v>
      </c>
      <c r="V50" s="48">
        <f>IFERROR('4361'!$K$34, 0)</f>
        <v>0</v>
      </c>
      <c r="W50" s="5"/>
      <c r="X50" s="48">
        <f>IFERROR('4361'!L31, 0)</f>
        <v>0</v>
      </c>
      <c r="Y50" s="48">
        <f>IFERROR('4361'!L34, 0)</f>
        <v>0</v>
      </c>
      <c r="Z50" s="48">
        <f>IFERROR('4361'!M34, 0)</f>
        <v>0</v>
      </c>
      <c r="AA50" s="48">
        <f>IFERROR('4361'!N34, 0)</f>
        <v>0</v>
      </c>
      <c r="AB50" s="5"/>
      <c r="AC50" s="5">
        <f>IFERROR('4361'!$N$28, 0)</f>
        <v>0.23529411764705882</v>
      </c>
      <c r="AD50" s="5">
        <f>IFERROR('4361'!$N$30, 0)</f>
        <v>0.76470588235294112</v>
      </c>
      <c r="AE50" s="5"/>
      <c r="AF50" s="5">
        <f>IFERROR('4361'!$S$22, 0)</f>
        <v>0.5</v>
      </c>
      <c r="AG50" s="5">
        <f>IFERROR('4361'!$U$22, 0)</f>
        <v>0</v>
      </c>
      <c r="AH50" s="5">
        <f>IFERROR('4361'!$U$24, 0)</f>
        <v>1</v>
      </c>
      <c r="AI50" s="5">
        <f>IFERROR('4361'!$S$24, 0)</f>
        <v>8.3333333333333329E-2</v>
      </c>
      <c r="AJ50" s="5"/>
      <c r="AK50" s="5">
        <f>IFERROR('4361'!$G$68, 0)</f>
        <v>4.583333333333333</v>
      </c>
      <c r="AN50" s="43">
        <v>3974</v>
      </c>
      <c r="AO50">
        <v>3142</v>
      </c>
      <c r="AP50" s="43"/>
    </row>
    <row r="51" spans="1:42" x14ac:dyDescent="0.2">
      <c r="A51" s="4">
        <v>4653</v>
      </c>
      <c r="B51" s="5">
        <f>IFERROR('4653'!$D$20, 0)</f>
        <v>0</v>
      </c>
      <c r="C51" s="5">
        <f>IFERROR('4653'!$D$26, 0)</f>
        <v>0</v>
      </c>
      <c r="D51" s="5">
        <f>IFERROR('4653'!$D$32, 0)</f>
        <v>0</v>
      </c>
      <c r="E51" s="48">
        <f>IFERROR('4653'!$F$20, 0)</f>
        <v>0.8571428571428571</v>
      </c>
      <c r="F51" s="48">
        <f>IFERROR('4653'!$F$26, 0)</f>
        <v>0.5</v>
      </c>
      <c r="G51" s="48">
        <f>IFERROR('4653'!$F$32, 0)</f>
        <v>0</v>
      </c>
      <c r="H51" s="5"/>
      <c r="I51" s="5">
        <f>IFERROR('4653'!$I$21, 0)</f>
        <v>1</v>
      </c>
      <c r="J51" s="5">
        <f>IFERROR('4653'!$I$24, 0)</f>
        <v>8.3333333333333329E-2</v>
      </c>
      <c r="K51" s="5">
        <f>IFERROR('4653'!$J$24, 0)</f>
        <v>1</v>
      </c>
      <c r="L51" s="5">
        <f>IFERROR('4653'!$K$24, 0)</f>
        <v>0.28867513459481287</v>
      </c>
      <c r="M51" s="5"/>
      <c r="N51" s="48">
        <f>IFERROR('4653'!$I$26, 0)</f>
        <v>0.8125</v>
      </c>
      <c r="O51" s="48">
        <f>IFERROR('4653'!$I$29, 0)</f>
        <v>1.0833333333333333</v>
      </c>
      <c r="P51" s="48">
        <f>IFERROR('4653'!$J$29, 0)</f>
        <v>3</v>
      </c>
      <c r="Q51" s="48">
        <f>IFERROR('4653'!$K$29, 0)</f>
        <v>1.164500152881315</v>
      </c>
      <c r="R51" s="5"/>
      <c r="S51" s="48">
        <f>IFERROR('4653'!I31, 0)</f>
        <v>0.97916666666666663</v>
      </c>
      <c r="T51" s="48">
        <f>IFERROR('4653'!$I$34, 0)</f>
        <v>3.9166666666666665</v>
      </c>
      <c r="U51" s="48">
        <f>IFERROR('4653'!$J$34, 0)</f>
        <v>9</v>
      </c>
      <c r="V51" s="48">
        <f>IFERROR('4653'!$K$34, 0)</f>
        <v>3.8720051965905524</v>
      </c>
      <c r="W51" s="5"/>
      <c r="X51" s="48">
        <f>IFERROR('4653'!L31, 0)</f>
        <v>0.94117647058823528</v>
      </c>
      <c r="Y51" s="48">
        <f>IFERROR('4653'!L34, 0)</f>
        <v>4</v>
      </c>
      <c r="Z51" s="48">
        <f>IFERROR('4653'!M34, 0)</f>
        <v>8</v>
      </c>
      <c r="AA51" s="48">
        <f>IFERROR('4653'!N34, 0)</f>
        <v>3.3665016461206929</v>
      </c>
      <c r="AB51" s="5"/>
      <c r="AC51" s="5">
        <f>IFERROR('4653'!$N$28, 0)</f>
        <v>0.2073170731707317</v>
      </c>
      <c r="AD51" s="5">
        <f>IFERROR('4653'!$N$30, 0)</f>
        <v>0.79268292682926833</v>
      </c>
      <c r="AE51" s="5"/>
      <c r="AF51" s="5">
        <f>IFERROR('4653'!$S$22, 0)</f>
        <v>0</v>
      </c>
      <c r="AG51" s="5">
        <f>IFERROR('4653'!$U$22, 0)</f>
        <v>0</v>
      </c>
      <c r="AH51" s="5">
        <f>IFERROR('4653'!$U$24, 0)</f>
        <v>0</v>
      </c>
      <c r="AI51" s="5">
        <f>IFERROR('4653'!$S$24, 0)</f>
        <v>0</v>
      </c>
      <c r="AJ51" s="5"/>
      <c r="AK51" s="5">
        <f>IFERROR('4653'!$G$68, 0)</f>
        <v>5.583333333333333</v>
      </c>
      <c r="AN51" s="43">
        <v>365</v>
      </c>
      <c r="AO51">
        <v>1640</v>
      </c>
      <c r="AP51" s="43"/>
    </row>
    <row r="52" spans="1:42" x14ac:dyDescent="0.2">
      <c r="A52" s="4">
        <v>5401</v>
      </c>
      <c r="B52" s="5">
        <f>IFERROR('5401'!$D$20, 0)</f>
        <v>0</v>
      </c>
      <c r="C52" s="5">
        <f>IFERROR('5401'!$D$26, 0)</f>
        <v>0</v>
      </c>
      <c r="D52" s="5">
        <f>IFERROR('5401'!$D$32, 0)</f>
        <v>0</v>
      </c>
      <c r="E52" s="48">
        <f>IFERROR('5401'!$F$20, 0)</f>
        <v>0.25</v>
      </c>
      <c r="F52" s="48">
        <f>IFERROR('5401'!$F$26, 0)</f>
        <v>8.3333333333333329E-2</v>
      </c>
      <c r="G52" s="48">
        <f>IFERROR('5401'!$F$32, 0)</f>
        <v>0</v>
      </c>
      <c r="H52" s="5"/>
      <c r="I52" s="5">
        <f>IFERROR('5401'!$I$21, 0)</f>
        <v>0</v>
      </c>
      <c r="J52" s="5">
        <f>IFERROR('5401'!$I$24, 0)</f>
        <v>0</v>
      </c>
      <c r="K52" s="5">
        <f>IFERROR('5401'!$J$24, 0)</f>
        <v>0</v>
      </c>
      <c r="L52" s="5">
        <f>IFERROR('5401'!$K$24, 0)</f>
        <v>0</v>
      </c>
      <c r="M52" s="5"/>
      <c r="N52" s="48">
        <f>IFERROR('5401'!$I$26, 0)</f>
        <v>1</v>
      </c>
      <c r="O52" s="48">
        <f>IFERROR('5401'!$I$29, 0)</f>
        <v>0.91666666666666663</v>
      </c>
      <c r="P52" s="48">
        <f>IFERROR('5401'!$J$29, 0)</f>
        <v>3</v>
      </c>
      <c r="Q52" s="48">
        <f>IFERROR('5401'!$K$29, 0)</f>
        <v>1.164500152881315</v>
      </c>
      <c r="R52" s="5"/>
      <c r="S52" s="48">
        <f>IFERROR('5401'!I31, 0)</f>
        <v>0.93220338983050843</v>
      </c>
      <c r="T52" s="48">
        <f>IFERROR('5401'!$I$34, 0)</f>
        <v>4.583333333333333</v>
      </c>
      <c r="U52" s="48">
        <f>IFERROR('5401'!$J$34, 0)</f>
        <v>9</v>
      </c>
      <c r="V52" s="48">
        <f>IFERROR('5401'!$K$34, 0)</f>
        <v>3.579190699111471</v>
      </c>
      <c r="W52" s="5"/>
      <c r="X52" s="48">
        <f>IFERROR('5401'!L31, 0)</f>
        <v>0.95652173913043481</v>
      </c>
      <c r="Y52" s="48">
        <f>IFERROR('5401'!L34, 0)</f>
        <v>5.5</v>
      </c>
      <c r="Z52" s="48">
        <f>IFERROR('5401'!M34, 0)</f>
        <v>9</v>
      </c>
      <c r="AA52" s="48">
        <f>IFERROR('5401'!N34, 0)</f>
        <v>3.872983346207417</v>
      </c>
      <c r="AB52" s="5"/>
      <c r="AC52" s="5">
        <f>IFERROR('5401'!$N$28, 0)</f>
        <v>5.5555555555555552E-2</v>
      </c>
      <c r="AD52" s="5">
        <f>IFERROR('5401'!$N$30, 0)</f>
        <v>0.94444444444444442</v>
      </c>
      <c r="AE52" s="5"/>
      <c r="AF52" s="5">
        <f>IFERROR('5401'!$S$22, 0)</f>
        <v>1</v>
      </c>
      <c r="AG52" s="5">
        <f>IFERROR('5401'!$U$22, 0)</f>
        <v>0</v>
      </c>
      <c r="AH52" s="5">
        <f>IFERROR('5401'!$U$24, 0)</f>
        <v>1</v>
      </c>
      <c r="AI52" s="5">
        <f>IFERROR('5401'!$S$24, 0)</f>
        <v>8.3333333333333329E-2</v>
      </c>
      <c r="AJ52" s="5"/>
      <c r="AK52" s="5">
        <f>IFERROR('5401'!$G$68, 0)</f>
        <v>5.583333333333333</v>
      </c>
      <c r="AN52" s="43">
        <v>2607</v>
      </c>
      <c r="AO52">
        <v>2729</v>
      </c>
      <c r="AP52" s="43"/>
    </row>
    <row r="53" spans="1:42" x14ac:dyDescent="0.2">
      <c r="A53" s="4">
        <v>5404</v>
      </c>
      <c r="B53" s="5">
        <f>IFERROR('5404'!$D$20, 0)</f>
        <v>0.5</v>
      </c>
      <c r="C53" s="5">
        <f>IFERROR('5404'!$D$26, 0)</f>
        <v>9.0909090909090912E-2</v>
      </c>
      <c r="D53" s="5">
        <f>IFERROR('5404'!$D$32, 0)</f>
        <v>0</v>
      </c>
      <c r="E53" s="48">
        <f>IFERROR('5404'!$F$20, 0)</f>
        <v>0.88888888888888884</v>
      </c>
      <c r="F53" s="48">
        <f>IFERROR('5404'!$F$26, 0)</f>
        <v>0.72727272727272729</v>
      </c>
      <c r="G53" s="48">
        <f>IFERROR('5404'!$F$32, 0)</f>
        <v>0</v>
      </c>
      <c r="H53" s="5"/>
      <c r="I53" s="5">
        <f>IFERROR('5404'!$I$21, 0)</f>
        <v>0.84</v>
      </c>
      <c r="J53" s="5">
        <f>IFERROR('5404'!$I$24, 0)</f>
        <v>1.9090909090909092</v>
      </c>
      <c r="K53" s="5">
        <f>IFERROR('5404'!$J$24, 0)</f>
        <v>4</v>
      </c>
      <c r="L53" s="5">
        <f>IFERROR('5404'!$K$24, 0)</f>
        <v>1.4459976109624424</v>
      </c>
      <c r="M53" s="5"/>
      <c r="N53" s="48">
        <f>IFERROR('5404'!$I$26, 0)</f>
        <v>1</v>
      </c>
      <c r="O53" s="48">
        <f>IFERROR('5404'!$I$29, 0)</f>
        <v>9.0909090909090912E-2</v>
      </c>
      <c r="P53" s="48">
        <f>IFERROR('5404'!$J$29, 0)</f>
        <v>1</v>
      </c>
      <c r="Q53" s="48">
        <f>IFERROR('5404'!$K$29, 0)</f>
        <v>0.30151134457776363</v>
      </c>
      <c r="R53" s="5"/>
      <c r="S53" s="48">
        <f>IFERROR('5404'!I31, 0)</f>
        <v>0</v>
      </c>
      <c r="T53" s="48">
        <f>IFERROR('5404'!$I$34, 0)</f>
        <v>0</v>
      </c>
      <c r="U53" s="48">
        <f>IFERROR('5404'!$J$34, 0)</f>
        <v>0</v>
      </c>
      <c r="V53" s="48">
        <f>IFERROR('5404'!$K$34, 0)</f>
        <v>0</v>
      </c>
      <c r="W53" s="5"/>
      <c r="X53" s="48">
        <f>IFERROR('5404'!L31, 0)</f>
        <v>0</v>
      </c>
      <c r="Y53" s="48">
        <f>IFERROR('5404'!L34, 0)</f>
        <v>0</v>
      </c>
      <c r="Z53" s="48">
        <f>IFERROR('5404'!M34, 0)</f>
        <v>0</v>
      </c>
      <c r="AA53" s="48">
        <f>IFERROR('5404'!N34, 0)</f>
        <v>0</v>
      </c>
      <c r="AB53" s="5"/>
      <c r="AC53" s="5">
        <f>IFERROR('5404'!$N$28, 0)</f>
        <v>0.82758620689655171</v>
      </c>
      <c r="AD53" s="5">
        <f>IFERROR('5404'!$N$30, 0)</f>
        <v>0.17241379310344829</v>
      </c>
      <c r="AE53" s="5"/>
      <c r="AF53" s="5">
        <f>IFERROR('5404'!$S$22, 0)</f>
        <v>0.5</v>
      </c>
      <c r="AG53" s="5">
        <f>IFERROR('5404'!$U$22, 0)</f>
        <v>0.5</v>
      </c>
      <c r="AH53" s="5">
        <f>IFERROR('5404'!$U$24, 0)</f>
        <v>0</v>
      </c>
      <c r="AI53" s="5">
        <f>IFERROR('5404'!$S$24, 0)</f>
        <v>0.36363636363636365</v>
      </c>
      <c r="AJ53" s="5"/>
      <c r="AK53" s="5">
        <f>IFERROR('5404'!$G$68, 0)</f>
        <v>2.8181818181818183</v>
      </c>
      <c r="AN53" s="43">
        <v>1640</v>
      </c>
      <c r="AO53">
        <v>5404</v>
      </c>
      <c r="AP53" s="43"/>
    </row>
    <row r="54" spans="1:42" x14ac:dyDescent="0.2">
      <c r="A54" s="4">
        <v>5407</v>
      </c>
      <c r="B54" s="5">
        <f>IFERROR('5407'!$D$20, 0)</f>
        <v>1</v>
      </c>
      <c r="C54" s="5">
        <f>IFERROR('5407'!$D$26, 0)</f>
        <v>0.16666666666666666</v>
      </c>
      <c r="D54" s="5">
        <f>IFERROR('5407'!$D$32, 0)</f>
        <v>0</v>
      </c>
      <c r="E54" s="48">
        <f>IFERROR('5407'!$F$20, 0)</f>
        <v>0.8571428571428571</v>
      </c>
      <c r="F54" s="48">
        <f>IFERROR('5407'!$F$26, 0)</f>
        <v>0.5</v>
      </c>
      <c r="G54" s="48">
        <f>IFERROR('5407'!$F$32, 0)</f>
        <v>0</v>
      </c>
      <c r="H54" s="5"/>
      <c r="I54" s="5">
        <f>IFERROR('5407'!$I$21, 0)</f>
        <v>0.88571428571428568</v>
      </c>
      <c r="J54" s="5">
        <f>IFERROR('5407'!$I$24, 0)</f>
        <v>2.5833333333333335</v>
      </c>
      <c r="K54" s="5">
        <f>IFERROR('5407'!$J$24, 0)</f>
        <v>6</v>
      </c>
      <c r="L54" s="5">
        <f>IFERROR('5407'!$K$24, 0)</f>
        <v>2.151461800448216</v>
      </c>
      <c r="M54" s="5"/>
      <c r="N54" s="48">
        <f>IFERROR('5407'!$I$26, 0)</f>
        <v>0.8</v>
      </c>
      <c r="O54" s="48">
        <f>IFERROR('5407'!$I$29, 0)</f>
        <v>0.66666666666666663</v>
      </c>
      <c r="P54" s="48">
        <f>IFERROR('5407'!$J$29, 0)</f>
        <v>5</v>
      </c>
      <c r="Q54" s="48">
        <f>IFERROR('5407'!$K$29, 0)</f>
        <v>1.4354811251305468</v>
      </c>
      <c r="R54" s="5"/>
      <c r="S54" s="48">
        <f>IFERROR('5407'!I31, 0)</f>
        <v>1</v>
      </c>
      <c r="T54" s="48">
        <f>IFERROR('5407'!$I$34, 0)</f>
        <v>1.3333333333333333</v>
      </c>
      <c r="U54" s="48">
        <f>IFERROR('5407'!$J$34, 0)</f>
        <v>7</v>
      </c>
      <c r="V54" s="48">
        <f>IFERROR('5407'!$K$34, 0)</f>
        <v>2.5702257889260638</v>
      </c>
      <c r="W54" s="5"/>
      <c r="X54" s="48">
        <f>IFERROR('5407'!L31, 0)</f>
        <v>1</v>
      </c>
      <c r="Y54" s="48">
        <f>IFERROR('5407'!L34, 0)</f>
        <v>1.5</v>
      </c>
      <c r="Z54" s="48">
        <f>IFERROR('5407'!M34, 0)</f>
        <v>6</v>
      </c>
      <c r="AA54" s="48">
        <f>IFERROR('5407'!N34, 0)</f>
        <v>3</v>
      </c>
      <c r="AB54" s="5"/>
      <c r="AC54" s="5">
        <f>IFERROR('5407'!$N$28, 0)</f>
        <v>0.17948717948717949</v>
      </c>
      <c r="AD54" s="5">
        <f>IFERROR('5407'!$N$30, 0)</f>
        <v>0.82051282051282048</v>
      </c>
      <c r="AE54" s="5"/>
      <c r="AF54" s="5">
        <f>IFERROR('5407'!$S$22, 0)</f>
        <v>1</v>
      </c>
      <c r="AG54" s="5">
        <f>IFERROR('5407'!$U$22, 0)</f>
        <v>1</v>
      </c>
      <c r="AH54" s="5">
        <f>IFERROR('5407'!$U$24, 0)</f>
        <v>1</v>
      </c>
      <c r="AI54" s="5">
        <f>IFERROR('5407'!$S$24, 0)</f>
        <v>0.75</v>
      </c>
      <c r="AJ54" s="5"/>
      <c r="AK54" s="5">
        <f>IFERROR('5407'!$G$68, 0)</f>
        <v>5.25</v>
      </c>
      <c r="AN54" s="43">
        <v>1391</v>
      </c>
      <c r="AO54">
        <v>6860</v>
      </c>
      <c r="AP54" s="43"/>
    </row>
    <row r="55" spans="1:42" x14ac:dyDescent="0.2">
      <c r="A55" s="4">
        <v>5420</v>
      </c>
      <c r="B55" s="5">
        <f>IFERROR('5420'!$D$20, 0)</f>
        <v>0</v>
      </c>
      <c r="C55" s="5">
        <f>IFERROR('5420'!$D$26, 0)</f>
        <v>0</v>
      </c>
      <c r="D55" s="5">
        <f>IFERROR('5420'!$D$32, 0)</f>
        <v>0</v>
      </c>
      <c r="E55" s="48">
        <f>IFERROR('5420'!$F$20, 0)</f>
        <v>1</v>
      </c>
      <c r="F55" s="48">
        <f>IFERROR('5420'!$F$26, 0)</f>
        <v>0.75</v>
      </c>
      <c r="G55" s="48">
        <f>IFERROR('5420'!$F$32, 0)</f>
        <v>0</v>
      </c>
      <c r="H55" s="5"/>
      <c r="I55" s="5">
        <f>IFERROR('5420'!$I$21, 0)</f>
        <v>0.90909090909090906</v>
      </c>
      <c r="J55" s="5">
        <f>IFERROR('5420'!$I$24, 0)</f>
        <v>2.5</v>
      </c>
      <c r="K55" s="5">
        <f>IFERROR('5420'!$J$24, 0)</f>
        <v>4</v>
      </c>
      <c r="L55" s="5">
        <f>IFERROR('5420'!$K$24, 0)</f>
        <v>1.4459976109624424</v>
      </c>
      <c r="M55" s="5"/>
      <c r="N55" s="48">
        <f>IFERROR('5420'!$I$26, 0)</f>
        <v>1</v>
      </c>
      <c r="O55" s="48">
        <f>IFERROR('5420'!$I$29, 0)</f>
        <v>0.33333333333333331</v>
      </c>
      <c r="P55" s="48">
        <f>IFERROR('5420'!$J$29, 0)</f>
        <v>3</v>
      </c>
      <c r="Q55" s="48">
        <f>IFERROR('5420'!$K$29, 0)</f>
        <v>0.88762536459859454</v>
      </c>
      <c r="R55" s="5"/>
      <c r="S55" s="48">
        <f>IFERROR('5420'!I31, 0)</f>
        <v>1</v>
      </c>
      <c r="T55" s="48">
        <f>IFERROR('5420'!$I$34, 0)</f>
        <v>1.1666666666666667</v>
      </c>
      <c r="U55" s="48">
        <f>IFERROR('5420'!$J$34, 0)</f>
        <v>6</v>
      </c>
      <c r="V55" s="48">
        <f>IFERROR('5420'!$K$34, 0)</f>
        <v>2.3290003057626301</v>
      </c>
      <c r="W55" s="5"/>
      <c r="X55" s="48">
        <f>IFERROR('5420'!L31, 0)</f>
        <v>0</v>
      </c>
      <c r="Y55" s="48">
        <f>IFERROR('5420'!L34, 0)</f>
        <v>0</v>
      </c>
      <c r="Z55" s="48">
        <f>IFERROR('5420'!M34, 0)</f>
        <v>0</v>
      </c>
      <c r="AA55" s="48">
        <f>IFERROR('5420'!N34, 0)</f>
        <v>0</v>
      </c>
      <c r="AB55" s="5"/>
      <c r="AC55" s="5">
        <f>IFERROR('5420'!$N$28, 0)</f>
        <v>0.02</v>
      </c>
      <c r="AD55" s="5">
        <f>IFERROR('5420'!$N$30, 0)</f>
        <v>0.98</v>
      </c>
      <c r="AE55" s="5"/>
      <c r="AF55" s="5">
        <f>IFERROR('5420'!$S$22, 0)</f>
        <v>0.6</v>
      </c>
      <c r="AG55" s="5">
        <f>IFERROR('5420'!$U$22, 0)</f>
        <v>0.66666666666666663</v>
      </c>
      <c r="AH55" s="5">
        <f>IFERROR('5420'!$U$24, 0)</f>
        <v>0</v>
      </c>
      <c r="AI55" s="5">
        <f>IFERROR('5420'!$S$24, 0)</f>
        <v>0.5</v>
      </c>
      <c r="AJ55" s="5"/>
      <c r="AK55" s="5">
        <f>IFERROR('5420'!$G$68, 0)</f>
        <v>4.75</v>
      </c>
      <c r="AN55" s="43">
        <v>102</v>
      </c>
      <c r="AO55">
        <v>3314</v>
      </c>
      <c r="AP55" s="43"/>
    </row>
    <row r="56" spans="1:42" x14ac:dyDescent="0.2">
      <c r="A56" s="4">
        <v>5895</v>
      </c>
      <c r="B56" s="5">
        <f>IFERROR('5895'!$D$20, 0)</f>
        <v>0.4</v>
      </c>
      <c r="C56" s="5">
        <f>IFERROR('5895'!$D$26, 0)</f>
        <v>0.16666666666666666</v>
      </c>
      <c r="D56" s="5">
        <f>IFERROR('5895'!$D$32, 0)</f>
        <v>0</v>
      </c>
      <c r="E56" s="48">
        <f>IFERROR('5895'!$F$20, 0)</f>
        <v>1</v>
      </c>
      <c r="F56" s="48">
        <f>IFERROR('5895'!$F$26, 0)</f>
        <v>0.41666666666666669</v>
      </c>
      <c r="G56" s="48">
        <f>IFERROR('5895'!$F$32, 0)</f>
        <v>1</v>
      </c>
      <c r="H56" s="5"/>
      <c r="I56" s="5">
        <f>IFERROR('5895'!$I$21, 0)</f>
        <v>0.90243902439024393</v>
      </c>
      <c r="J56" s="5">
        <f>IFERROR('5895'!$I$24, 0)</f>
        <v>3.0833333333333335</v>
      </c>
      <c r="K56" s="5">
        <f>IFERROR('5895'!$J$24, 0)</f>
        <v>6</v>
      </c>
      <c r="L56" s="5">
        <f>IFERROR('5895'!$K$24, 0)</f>
        <v>1.1645001528813153</v>
      </c>
      <c r="M56" s="5"/>
      <c r="N56" s="48">
        <f>IFERROR('5895'!$I$26, 0)</f>
        <v>1</v>
      </c>
      <c r="O56" s="48">
        <f>IFERROR('5895'!$I$29, 0)</f>
        <v>1.0833333333333333</v>
      </c>
      <c r="P56" s="48">
        <f>IFERROR('5895'!$J$29, 0)</f>
        <v>3</v>
      </c>
      <c r="Q56" s="48">
        <f>IFERROR('5895'!$K$29, 0)</f>
        <v>1.164500152881315</v>
      </c>
      <c r="R56" s="5"/>
      <c r="S56" s="48">
        <f>IFERROR('5895'!I31, 0)</f>
        <v>1</v>
      </c>
      <c r="T56" s="48">
        <f>IFERROR('5895'!$I$34, 0)</f>
        <v>1.3333333333333333</v>
      </c>
      <c r="U56" s="48">
        <f>IFERROR('5895'!$J$34, 0)</f>
        <v>6</v>
      </c>
      <c r="V56" s="48">
        <f>IFERROR('5895'!$K$34, 0)</f>
        <v>2.2696949467968492</v>
      </c>
      <c r="W56" s="5"/>
      <c r="X56" s="48">
        <f>IFERROR('5895'!L31, 0)</f>
        <v>1</v>
      </c>
      <c r="Y56" s="48">
        <f>IFERROR('5895'!L34, 0)</f>
        <v>1.25</v>
      </c>
      <c r="Z56" s="48">
        <f>IFERROR('5895'!M34, 0)</f>
        <v>4</v>
      </c>
      <c r="AA56" s="48">
        <f>IFERROR('5895'!N34, 0)</f>
        <v>1.8929694486000912</v>
      </c>
      <c r="AB56" s="5"/>
      <c r="AC56" s="5">
        <f>IFERROR('5895'!$N$28, 0)</f>
        <v>0.16853932584269662</v>
      </c>
      <c r="AD56" s="5">
        <f>IFERROR('5895'!$N$30, 0)</f>
        <v>0.8314606741573034</v>
      </c>
      <c r="AE56" s="5"/>
      <c r="AF56" s="5">
        <f>IFERROR('5895'!$S$22, 0)</f>
        <v>0.55555555555555558</v>
      </c>
      <c r="AG56" s="5">
        <f>IFERROR('5895'!$U$22, 0)</f>
        <v>0.55555555555555558</v>
      </c>
      <c r="AH56" s="5">
        <f>IFERROR('5895'!$U$24, 0)</f>
        <v>0</v>
      </c>
      <c r="AI56" s="5">
        <f>IFERROR('5895'!$S$24, 0)</f>
        <v>0.41666666666666669</v>
      </c>
      <c r="AJ56" s="5"/>
      <c r="AK56" s="5">
        <f>IFERROR('5895'!$G$68, 0)</f>
        <v>6.083333333333333</v>
      </c>
      <c r="AN56" s="43">
        <v>1923</v>
      </c>
      <c r="AO56">
        <v>3974</v>
      </c>
      <c r="AP56" s="43"/>
    </row>
    <row r="57" spans="1:42" x14ac:dyDescent="0.2">
      <c r="A57" s="4">
        <v>5992</v>
      </c>
      <c r="B57" s="5">
        <f>IFERROR('5992'!$D$20, 0)</f>
        <v>0.25</v>
      </c>
      <c r="C57" s="5">
        <f>IFERROR('5992'!$D$26, 0)</f>
        <v>8.3333333333333329E-2</v>
      </c>
      <c r="D57" s="5">
        <f>IFERROR('5992'!$D$32, 0)</f>
        <v>0</v>
      </c>
      <c r="E57" s="48">
        <f>IFERROR('5992'!$F$20, 0)</f>
        <v>0.5</v>
      </c>
      <c r="F57" s="48">
        <f>IFERROR('5992'!$F$26, 0)</f>
        <v>0.16666666666666666</v>
      </c>
      <c r="G57" s="48">
        <f>IFERROR('5992'!$F$32, 0)</f>
        <v>0</v>
      </c>
      <c r="H57" s="5"/>
      <c r="I57" s="5">
        <f>IFERROR('5992'!$I$21, 0)</f>
        <v>0.66666666666666663</v>
      </c>
      <c r="J57" s="5">
        <f>IFERROR('5992'!$I$24, 0)</f>
        <v>0.5</v>
      </c>
      <c r="K57" s="5">
        <f>IFERROR('5992'!$J$24, 0)</f>
        <v>4</v>
      </c>
      <c r="L57" s="5">
        <f>IFERROR('5992'!$K$24, 0)</f>
        <v>1.1677484162422844</v>
      </c>
      <c r="M57" s="5"/>
      <c r="N57" s="48">
        <f>IFERROR('5992'!$I$26, 0)</f>
        <v>0.83333333333333337</v>
      </c>
      <c r="O57" s="48">
        <f>IFERROR('5992'!$I$29, 0)</f>
        <v>1.25</v>
      </c>
      <c r="P57" s="48">
        <f>IFERROR('5992'!$J$29, 0)</f>
        <v>5</v>
      </c>
      <c r="Q57" s="48">
        <f>IFERROR('5992'!$K$29, 0)</f>
        <v>1.712255291076124</v>
      </c>
      <c r="R57" s="5"/>
      <c r="S57" s="48">
        <f>IFERROR('5992'!I31, 0)</f>
        <v>0.83783783783783783</v>
      </c>
      <c r="T57" s="48">
        <f>IFERROR('5992'!$I$34, 0)</f>
        <v>2.5833333333333335</v>
      </c>
      <c r="U57" s="48">
        <f>IFERROR('5992'!$J$34, 0)</f>
        <v>6</v>
      </c>
      <c r="V57" s="48">
        <f>IFERROR('5992'!$K$34, 0)</f>
        <v>2.3143164446679729</v>
      </c>
      <c r="W57" s="5"/>
      <c r="X57" s="48">
        <f>IFERROR('5992'!L31, 0)</f>
        <v>0.72727272727272729</v>
      </c>
      <c r="Y57" s="48">
        <f>IFERROR('5992'!L34, 0)</f>
        <v>2</v>
      </c>
      <c r="Z57" s="48">
        <f>IFERROR('5992'!M34, 0)</f>
        <v>4</v>
      </c>
      <c r="AA57" s="48">
        <f>IFERROR('5992'!N34, 0)</f>
        <v>2.3094010767585029</v>
      </c>
      <c r="AB57" s="5"/>
      <c r="AC57" s="5">
        <f>IFERROR('5992'!$N$28, 0)</f>
        <v>0</v>
      </c>
      <c r="AD57" s="5">
        <f>IFERROR('5992'!$N$30, 0)</f>
        <v>1</v>
      </c>
      <c r="AE57" s="5"/>
      <c r="AF57" s="5">
        <f>IFERROR('5992'!$S$22, 0)</f>
        <v>0.6</v>
      </c>
      <c r="AG57" s="5">
        <f>IFERROR('5992'!$U$22, 0)</f>
        <v>0.6</v>
      </c>
      <c r="AH57" s="5">
        <f>IFERROR('5992'!$U$24, 0)</f>
        <v>0</v>
      </c>
      <c r="AI57" s="5">
        <f>IFERROR('5992'!$S$24, 0)</f>
        <v>0.25</v>
      </c>
      <c r="AJ57" s="5"/>
      <c r="AK57" s="5">
        <f>IFERROR('5992'!$G$68, 0)</f>
        <v>4.583333333333333</v>
      </c>
      <c r="AN57" s="43">
        <v>834</v>
      </c>
      <c r="AO57">
        <v>1712</v>
      </c>
      <c r="AP57" s="43"/>
    </row>
    <row r="58" spans="1:42" x14ac:dyDescent="0.2">
      <c r="A58" s="4">
        <v>6203</v>
      </c>
      <c r="B58" s="5">
        <f>IFERROR('6203'!$D$20, 0)</f>
        <v>0</v>
      </c>
      <c r="C58" s="5">
        <f>IFERROR('6203'!$D$26, 0)</f>
        <v>0</v>
      </c>
      <c r="D58" s="5">
        <f>IFERROR('6203'!$D$32, 0)</f>
        <v>0</v>
      </c>
      <c r="E58" s="48">
        <f>IFERROR('6203'!$F$20, 0)</f>
        <v>0.66666666666666663</v>
      </c>
      <c r="F58" s="48">
        <f>IFERROR('6203'!$F$26, 0)</f>
        <v>0.18181818181818182</v>
      </c>
      <c r="G58" s="48">
        <f>IFERROR('6203'!$F$32, 0)</f>
        <v>0</v>
      </c>
      <c r="H58" s="5"/>
      <c r="I58" s="5">
        <f>IFERROR('6203'!$I$21, 0)</f>
        <v>0.7142857142857143</v>
      </c>
      <c r="J58" s="5">
        <f>IFERROR('6203'!$I$24, 0)</f>
        <v>0.45454545454545453</v>
      </c>
      <c r="K58" s="5">
        <f>IFERROR('6203'!$J$24, 0)</f>
        <v>2</v>
      </c>
      <c r="L58" s="5">
        <f>IFERROR('6203'!$K$24, 0)</f>
        <v>0.82019953226472431</v>
      </c>
      <c r="M58" s="5"/>
      <c r="N58" s="48">
        <f>IFERROR('6203'!$I$26, 0)</f>
        <v>1</v>
      </c>
      <c r="O58" s="48">
        <f>IFERROR('6203'!$I$29, 0)</f>
        <v>0.27272727272727271</v>
      </c>
      <c r="P58" s="48">
        <f>IFERROR('6203'!$J$29, 0)</f>
        <v>3</v>
      </c>
      <c r="Q58" s="48">
        <f>IFERROR('6203'!$K$29, 0)</f>
        <v>0.90453403373329089</v>
      </c>
      <c r="R58" s="5"/>
      <c r="S58" s="48">
        <f>IFERROR('6203'!I31, 0)</f>
        <v>1</v>
      </c>
      <c r="T58" s="48">
        <f>IFERROR('6203'!$I$34, 0)</f>
        <v>3.1818181818181817</v>
      </c>
      <c r="U58" s="48">
        <f>IFERROR('6203'!$J$34, 0)</f>
        <v>9</v>
      </c>
      <c r="V58" s="48">
        <f>IFERROR('6203'!$K$34, 0)</f>
        <v>3.9450774851245143</v>
      </c>
      <c r="W58" s="5"/>
      <c r="X58" s="48">
        <f>IFERROR('6203'!L31, 0)</f>
        <v>1</v>
      </c>
      <c r="Y58" s="48">
        <f>IFERROR('6203'!L34, 0)</f>
        <v>4</v>
      </c>
      <c r="Z58" s="48">
        <f>IFERROR('6203'!M34, 0)</f>
        <v>9</v>
      </c>
      <c r="AA58" s="48">
        <f>IFERROR('6203'!N34, 0)</f>
        <v>4.6904157598234297</v>
      </c>
      <c r="AB58" s="5"/>
      <c r="AC58" s="5">
        <f>IFERROR('6203'!$N$28, 0)</f>
        <v>1.9607843137254902E-2</v>
      </c>
      <c r="AD58" s="5">
        <f>IFERROR('6203'!$N$30, 0)</f>
        <v>0.98039215686274506</v>
      </c>
      <c r="AE58" s="5"/>
      <c r="AF58" s="5">
        <f>IFERROR('6203'!$S$22, 0)</f>
        <v>0.66666666666666663</v>
      </c>
      <c r="AG58" s="5">
        <f>IFERROR('6203'!$U$22, 0)</f>
        <v>0.66666666666666663</v>
      </c>
      <c r="AH58" s="5">
        <f>IFERROR('6203'!$U$24, 0)</f>
        <v>0</v>
      </c>
      <c r="AI58" s="5">
        <f>IFERROR('6203'!$S$24, 0)</f>
        <v>0.18181818181818182</v>
      </c>
      <c r="AJ58" s="5"/>
      <c r="AK58" s="5">
        <f>IFERROR('6203'!$G$68, 0)</f>
        <v>4.0909090909090908</v>
      </c>
      <c r="AN58" s="43">
        <v>3314</v>
      </c>
      <c r="AO58">
        <v>3929</v>
      </c>
      <c r="AP58" s="43"/>
    </row>
    <row r="59" spans="1:42" x14ac:dyDescent="0.2">
      <c r="A59" s="4">
        <v>6860</v>
      </c>
      <c r="B59" s="5">
        <f>IFERROR('6860'!$D$20, 0)</f>
        <v>0</v>
      </c>
      <c r="C59" s="5">
        <f>IFERROR('6860'!$D$26, 0)</f>
        <v>0</v>
      </c>
      <c r="D59" s="5">
        <f>IFERROR('6860'!$D$32, 0)</f>
        <v>0</v>
      </c>
      <c r="E59" s="48">
        <f>IFERROR('6860'!$F$20, 0)</f>
        <v>0.5</v>
      </c>
      <c r="F59" s="48">
        <f>IFERROR('6860'!$F$26, 0)</f>
        <v>0.27272727272727271</v>
      </c>
      <c r="G59" s="48">
        <f>IFERROR('6860'!$F$32, 0)</f>
        <v>0</v>
      </c>
      <c r="H59" s="5"/>
      <c r="I59" s="5">
        <f>IFERROR('6860'!$I$21, 0)</f>
        <v>0</v>
      </c>
      <c r="J59" s="5">
        <f>IFERROR('6860'!$I$24, 0)</f>
        <v>0</v>
      </c>
      <c r="K59" s="5">
        <f>IFERROR('6860'!$J$24, 0)</f>
        <v>0</v>
      </c>
      <c r="L59" s="5">
        <f>IFERROR('6860'!$K$24, 0)</f>
        <v>0</v>
      </c>
      <c r="M59" s="5"/>
      <c r="N59" s="48">
        <f>IFERROR('6860'!$I$26, 0)</f>
        <v>1</v>
      </c>
      <c r="O59" s="48">
        <f>IFERROR('6860'!$I$29, 0)</f>
        <v>0.18181818181818182</v>
      </c>
      <c r="P59" s="48">
        <f>IFERROR('6860'!$J$29, 0)</f>
        <v>1</v>
      </c>
      <c r="Q59" s="48">
        <f>IFERROR('6860'!$K$29, 0)</f>
        <v>0.40451991747794525</v>
      </c>
      <c r="R59" s="5"/>
      <c r="S59" s="48">
        <f>IFERROR('6860'!I31, 0)</f>
        <v>0</v>
      </c>
      <c r="T59" s="48">
        <f>IFERROR('6860'!$I$34, 0)</f>
        <v>0</v>
      </c>
      <c r="U59" s="48">
        <f>IFERROR('6860'!$J$34, 0)</f>
        <v>0</v>
      </c>
      <c r="V59" s="48">
        <f>IFERROR('6860'!$K$34, 0)</f>
        <v>0</v>
      </c>
      <c r="W59" s="5"/>
      <c r="X59" s="48">
        <f>IFERROR('6860'!L31, 0)</f>
        <v>0</v>
      </c>
      <c r="Y59" s="48">
        <f>IFERROR('6860'!L34, 0)</f>
        <v>0</v>
      </c>
      <c r="Z59" s="48">
        <f>IFERROR('6860'!M34, 0)</f>
        <v>0</v>
      </c>
      <c r="AA59" s="48">
        <f>IFERROR('6860'!N34, 0)</f>
        <v>0</v>
      </c>
      <c r="AB59" s="5"/>
      <c r="AC59" s="5">
        <f>IFERROR('6860'!$N$28, 0)</f>
        <v>1</v>
      </c>
      <c r="AD59" s="5">
        <f>IFERROR('6860'!$N$30, 0)</f>
        <v>0</v>
      </c>
      <c r="AE59" s="5"/>
      <c r="AF59" s="5">
        <f>IFERROR('6860'!$S$22, 0)</f>
        <v>0.33333333333333331</v>
      </c>
      <c r="AG59" s="5">
        <f>IFERROR('6860'!$U$22, 0)</f>
        <v>0</v>
      </c>
      <c r="AH59" s="5">
        <f>IFERROR('6860'!$U$24, 0)</f>
        <v>0.5</v>
      </c>
      <c r="AI59" s="5">
        <f>IFERROR('6860'!$S$24, 0)</f>
        <v>9.0909090909090912E-2</v>
      </c>
      <c r="AJ59" s="5"/>
      <c r="AK59" s="5">
        <f>IFERROR('6860'!$G$68, 0)</f>
        <v>0.45454545454545453</v>
      </c>
      <c r="AN59" s="43">
        <v>4361</v>
      </c>
      <c r="AO59">
        <v>41</v>
      </c>
      <c r="AP59" s="43"/>
    </row>
    <row r="60" spans="1:42" x14ac:dyDescent="0.2">
      <c r="A60" s="4">
        <v>6945</v>
      </c>
      <c r="B60" s="5">
        <f>IFERROR('6945'!$D$20, 0)</f>
        <v>0</v>
      </c>
      <c r="C60" s="5">
        <f>IFERROR('6945'!$D$26, 0)</f>
        <v>0</v>
      </c>
      <c r="D60" s="5">
        <f>IFERROR('6945'!$D$32, 0)</f>
        <v>0</v>
      </c>
      <c r="E60" s="48">
        <f>IFERROR('6945'!$F$20, 0)</f>
        <v>1</v>
      </c>
      <c r="F60" s="48">
        <f>IFERROR('6945'!$F$26, 0)</f>
        <v>0.58333333333333337</v>
      </c>
      <c r="G60" s="48">
        <f>IFERROR('6945'!$F$32, 0)</f>
        <v>0</v>
      </c>
      <c r="H60" s="5"/>
      <c r="I60" s="5">
        <f>IFERROR('6945'!$I$21, 0)</f>
        <v>0</v>
      </c>
      <c r="J60" s="5">
        <f>IFERROR('6945'!$I$24, 0)</f>
        <v>0</v>
      </c>
      <c r="K60" s="5">
        <f>IFERROR('6945'!$J$24, 0)</f>
        <v>0</v>
      </c>
      <c r="L60" s="5">
        <f>IFERROR('6945'!$K$24, 0)</f>
        <v>0</v>
      </c>
      <c r="M60" s="5"/>
      <c r="N60" s="48">
        <f>IFERROR('6945'!$I$26, 0)</f>
        <v>1</v>
      </c>
      <c r="O60" s="48">
        <f>IFERROR('6945'!$I$29, 0)</f>
        <v>1.4166666666666667</v>
      </c>
      <c r="P60" s="48">
        <f>IFERROR('6945'!$J$29, 0)</f>
        <v>4</v>
      </c>
      <c r="Q60" s="48">
        <f>IFERROR('6945'!$K$29, 0)</f>
        <v>1.378954368902449</v>
      </c>
      <c r="R60" s="5"/>
      <c r="S60" s="48">
        <f>IFERROR('6945'!I31, 0)</f>
        <v>0.98630136986301364</v>
      </c>
      <c r="T60" s="48">
        <f>IFERROR('6945'!$I$34, 0)</f>
        <v>6</v>
      </c>
      <c r="U60" s="48">
        <f>IFERROR('6945'!$J$34, 0)</f>
        <v>9</v>
      </c>
      <c r="V60" s="48">
        <f>IFERROR('6945'!$K$34, 0)</f>
        <v>3.0451153135353137</v>
      </c>
      <c r="W60" s="5"/>
      <c r="X60" s="48">
        <f>IFERROR('6945'!L31, 0)</f>
        <v>0.95454545454545459</v>
      </c>
      <c r="Y60" s="48">
        <f>IFERROR('6945'!L34, 0)</f>
        <v>5.25</v>
      </c>
      <c r="Z60" s="48">
        <f>IFERROR('6945'!M34, 0)</f>
        <v>7</v>
      </c>
      <c r="AA60" s="48">
        <f>IFERROR('6945'!N34, 0)</f>
        <v>2.8722813232690143</v>
      </c>
      <c r="AB60" s="5"/>
      <c r="AC60" s="5">
        <f>IFERROR('6945'!$N$28, 0)</f>
        <v>0.04</v>
      </c>
      <c r="AD60" s="5">
        <f>IFERROR('6945'!$N$30, 0)</f>
        <v>0.96</v>
      </c>
      <c r="AE60" s="5"/>
      <c r="AF60" s="5">
        <f>IFERROR('6945'!$S$22, 0)</f>
        <v>0</v>
      </c>
      <c r="AG60" s="5">
        <f>IFERROR('6945'!$U$22, 0)</f>
        <v>0</v>
      </c>
      <c r="AH60" s="5">
        <f>IFERROR('6945'!$U$24, 0)</f>
        <v>0</v>
      </c>
      <c r="AI60" s="5">
        <f>IFERROR('6945'!$S$24, 0)</f>
        <v>0</v>
      </c>
      <c r="AJ60" s="5"/>
      <c r="AK60" s="5">
        <f>IFERROR('6945'!$G$68, 0)</f>
        <v>8</v>
      </c>
      <c r="AN60" s="43">
        <v>5404</v>
      </c>
      <c r="AO60">
        <v>103</v>
      </c>
      <c r="AP60" s="43"/>
    </row>
    <row r="61" spans="1:42" x14ac:dyDescent="0.2">
      <c r="A61" s="46">
        <v>1168</v>
      </c>
      <c r="B61" s="5">
        <f>IFERROR('1168'!$D$20, 0)</f>
        <v>0</v>
      </c>
      <c r="C61" s="5">
        <f>IFERROR('1168'!$D$26, 0)</f>
        <v>0</v>
      </c>
      <c r="D61" s="5">
        <f>IFERROR('1168'!$D$32, 0)</f>
        <v>0</v>
      </c>
      <c r="E61" s="48">
        <f>IFERROR('1168'!$F$20, 0)</f>
        <v>0.75</v>
      </c>
      <c r="F61" s="48">
        <f>IFERROR('1168'!$F$26, 0)</f>
        <v>0.25</v>
      </c>
      <c r="G61" s="48">
        <f>IFERROR('1168'!$F$32, 0)</f>
        <v>0</v>
      </c>
      <c r="H61" s="5"/>
      <c r="I61" s="5">
        <f>IFERROR('1168'!$I$21, 0)</f>
        <v>0</v>
      </c>
      <c r="J61" s="5">
        <f>IFERROR('1168'!$I$24, 0)</f>
        <v>0</v>
      </c>
      <c r="K61" s="5">
        <f>IFERROR('1168'!$J$24, 0)</f>
        <v>0</v>
      </c>
      <c r="L61" s="5">
        <f>IFERROR('1168'!$K$24, 0)</f>
        <v>0</v>
      </c>
      <c r="M61" s="5"/>
      <c r="N61" s="48">
        <f>IFERROR('1168'!$I$26, 0)</f>
        <v>0.92307692307692313</v>
      </c>
      <c r="O61" s="48">
        <f>IFERROR('1168'!$I$29, 0)</f>
        <v>1</v>
      </c>
      <c r="P61" s="48">
        <f>IFERROR('1168'!$J$29, 0)</f>
        <v>4</v>
      </c>
      <c r="Q61" s="48">
        <f>IFERROR('1168'!$K$29, 0)</f>
        <v>1.3483997249264841</v>
      </c>
      <c r="R61" s="5"/>
      <c r="S61" s="48">
        <f>IFERROR('1168'!I31, 0)</f>
        <v>0.96610169491525422</v>
      </c>
      <c r="T61" s="48">
        <f>IFERROR('1168'!$I$34, 0)</f>
        <v>4.75</v>
      </c>
      <c r="U61" s="48">
        <f>IFERROR('1168'!$J$34, 0)</f>
        <v>10</v>
      </c>
      <c r="V61" s="48">
        <f>IFERROR('1168'!$K$34, 0)</f>
        <v>2.9580398915498081</v>
      </c>
      <c r="W61" s="5"/>
      <c r="X61" s="48">
        <f>IFERROR('1168'!L31, 0)</f>
        <v>0.96</v>
      </c>
      <c r="Y61" s="48">
        <f>IFERROR('1168'!L35, 0)</f>
        <v>0</v>
      </c>
      <c r="Z61" s="48">
        <f>IFERROR('1168'!M35, 0)</f>
        <v>0</v>
      </c>
      <c r="AA61" s="48">
        <f>IFERROR('1168'!N35, 0)</f>
        <v>0</v>
      </c>
      <c r="AB61" s="5"/>
      <c r="AC61" s="5">
        <f>IFERROR('1168'!$N$28, 0)</f>
        <v>0</v>
      </c>
      <c r="AD61" s="5">
        <f>IFERROR('1168'!$N$30, 0)</f>
        <v>1</v>
      </c>
      <c r="AE61" s="5"/>
      <c r="AF61" s="5">
        <f>IFERROR('1168'!$S$22, 0)</f>
        <v>1</v>
      </c>
      <c r="AG61" s="5">
        <f>IFERROR('1168'!$U$22, 0)</f>
        <v>0</v>
      </c>
      <c r="AH61" s="5">
        <f>IFERROR('1168'!$U$24, 0)</f>
        <v>1</v>
      </c>
      <c r="AI61" s="5">
        <f>IFERROR('1168'!$S$24, 0)</f>
        <v>8.3333333333333329E-2</v>
      </c>
      <c r="AJ61" s="5"/>
      <c r="AK61" s="5">
        <f>IFERROR('1168'!$G$68, 0)</f>
        <v>6</v>
      </c>
      <c r="AN61" s="43">
        <v>6860</v>
      </c>
      <c r="AO61">
        <v>4361</v>
      </c>
      <c r="AP61" s="43"/>
    </row>
    <row r="64" spans="1:42" x14ac:dyDescent="0.2"/>
    <row r="80" spans="1:11" x14ac:dyDescent="0.2">
      <c r="A80">
        <v>40</v>
      </c>
      <c r="B80" t="s">
        <v>182</v>
      </c>
      <c r="D80" t="s">
        <v>191</v>
      </c>
      <c r="E80" s="43">
        <v>4</v>
      </c>
      <c r="G80" s="43">
        <v>46</v>
      </c>
      <c r="H80" t="s">
        <v>181</v>
      </c>
      <c r="J80" t="s">
        <v>204</v>
      </c>
      <c r="K80">
        <v>7</v>
      </c>
    </row>
    <row r="81" spans="1:11" x14ac:dyDescent="0.2">
      <c r="B81" t="s">
        <v>79</v>
      </c>
      <c r="D81" t="s">
        <v>192</v>
      </c>
      <c r="E81" s="43">
        <v>2</v>
      </c>
      <c r="H81" t="s">
        <v>80</v>
      </c>
      <c r="J81" t="s">
        <v>205</v>
      </c>
      <c r="K81">
        <v>5</v>
      </c>
    </row>
    <row r="82" spans="1:11" x14ac:dyDescent="0.2">
      <c r="B82" t="s">
        <v>162</v>
      </c>
      <c r="D82" t="s">
        <v>210</v>
      </c>
      <c r="E82" s="43">
        <v>3</v>
      </c>
      <c r="H82" t="s">
        <v>163</v>
      </c>
      <c r="J82" t="s">
        <v>212</v>
      </c>
      <c r="K82">
        <v>6</v>
      </c>
    </row>
    <row r="84" spans="1:11" x14ac:dyDescent="0.2">
      <c r="A84">
        <v>41</v>
      </c>
      <c r="B84" t="s">
        <v>83</v>
      </c>
      <c r="D84" t="s">
        <v>194</v>
      </c>
      <c r="E84" s="43">
        <v>11</v>
      </c>
      <c r="G84" s="43">
        <v>47</v>
      </c>
      <c r="H84" t="s">
        <v>90</v>
      </c>
      <c r="J84" t="s">
        <v>203</v>
      </c>
      <c r="K84">
        <v>21</v>
      </c>
    </row>
    <row r="85" spans="1:11" x14ac:dyDescent="0.2">
      <c r="B85" t="s">
        <v>195</v>
      </c>
      <c r="D85" t="s">
        <v>196</v>
      </c>
      <c r="E85" s="43">
        <v>9</v>
      </c>
      <c r="H85" t="s">
        <v>199</v>
      </c>
      <c r="J85" t="s">
        <v>202</v>
      </c>
      <c r="K85">
        <v>19</v>
      </c>
    </row>
    <row r="86" spans="1:11" x14ac:dyDescent="0.2">
      <c r="B86" t="s">
        <v>82</v>
      </c>
      <c r="D86" t="s">
        <v>193</v>
      </c>
      <c r="E86" s="43">
        <v>10</v>
      </c>
      <c r="H86" t="s">
        <v>89</v>
      </c>
      <c r="J86" t="s">
        <v>201</v>
      </c>
      <c r="K86">
        <v>20</v>
      </c>
    </row>
    <row r="88" spans="1:11" x14ac:dyDescent="0.2">
      <c r="A88">
        <v>42</v>
      </c>
      <c r="B88" t="s">
        <v>197</v>
      </c>
      <c r="D88" t="s">
        <v>198</v>
      </c>
      <c r="E88" s="43">
        <v>33</v>
      </c>
      <c r="G88" s="43">
        <v>48</v>
      </c>
      <c r="H88" t="s">
        <v>87</v>
      </c>
      <c r="J88" t="s">
        <v>208</v>
      </c>
      <c r="K88">
        <v>16</v>
      </c>
    </row>
    <row r="89" spans="1:11" x14ac:dyDescent="0.2">
      <c r="B89" t="s">
        <v>46</v>
      </c>
      <c r="D89" t="s">
        <v>211</v>
      </c>
      <c r="E89" s="43">
        <v>35</v>
      </c>
      <c r="H89" t="s">
        <v>200</v>
      </c>
      <c r="J89" t="s">
        <v>207</v>
      </c>
      <c r="K89">
        <v>14</v>
      </c>
    </row>
    <row r="90" spans="1:11" x14ac:dyDescent="0.2">
      <c r="H90" t="s">
        <v>86</v>
      </c>
      <c r="J90" t="s">
        <v>206</v>
      </c>
      <c r="K90">
        <v>15</v>
      </c>
    </row>
  </sheetData>
  <sortState ref="A2:G61">
    <sortCondition ref="A2:A61"/>
  </sortState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autoFill="0" autoPict="0" macro="[0]!p_firstDraft">
                <anchor moveWithCells="1" sizeWithCells="1">
                  <from>
                    <xdr:col>1</xdr:col>
                    <xdr:colOff>139700</xdr:colOff>
                    <xdr:row>62</xdr:row>
                    <xdr:rowOff>88900</xdr:rowOff>
                  </from>
                  <to>
                    <xdr:col>2</xdr:col>
                    <xdr:colOff>812800</xdr:colOff>
                    <xdr:row>65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autoFill="0" autoPict="0" macro="[0]!p_tscore">
                <anchor moveWithCells="1" sizeWithCells="1">
                  <from>
                    <xdr:col>2</xdr:col>
                    <xdr:colOff>1117600</xdr:colOff>
                    <xdr:row>62</xdr:row>
                    <xdr:rowOff>88900</xdr:rowOff>
                  </from>
                  <to>
                    <xdr:col>4</xdr:col>
                    <xdr:colOff>914400</xdr:colOff>
                    <xdr:row>65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Y31"/>
  <sheetViews>
    <sheetView workbookViewId="0">
      <selection activeCell="Y9" sqref="Y9"/>
    </sheetView>
  </sheetViews>
  <sheetFormatPr baseColWidth="10" defaultRowHeight="15" x14ac:dyDescent="0.2"/>
  <sheetData>
    <row r="1" spans="1:25" x14ac:dyDescent="0.2">
      <c r="A1" s="1" t="s">
        <v>183</v>
      </c>
      <c r="D1" t="s">
        <v>3</v>
      </c>
      <c r="J1" t="s">
        <v>19</v>
      </c>
      <c r="L1" t="s">
        <v>20</v>
      </c>
      <c r="S1" t="s">
        <v>7</v>
      </c>
    </row>
    <row r="2" spans="1:25" x14ac:dyDescent="0.2">
      <c r="A2" t="s">
        <v>184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187</v>
      </c>
      <c r="X2" t="s">
        <v>36</v>
      </c>
      <c r="Y2" t="s">
        <v>37</v>
      </c>
    </row>
    <row r="3" spans="1:25" x14ac:dyDescent="0.2">
      <c r="A3" t="s">
        <v>5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26" spans="1:1" x14ac:dyDescent="0.2">
      <c r="A26" t="s">
        <v>190</v>
      </c>
    </row>
    <row r="27" spans="1:1" x14ac:dyDescent="0.2">
      <c r="A27" t="s">
        <v>209</v>
      </c>
    </row>
    <row r="28" spans="1:1" x14ac:dyDescent="0.2">
      <c r="A28" t="s">
        <v>215</v>
      </c>
    </row>
    <row r="29" spans="1:1" x14ac:dyDescent="0.2">
      <c r="A29">
        <v>3929</v>
      </c>
    </row>
    <row r="30" spans="1:1" x14ac:dyDescent="0.2">
      <c r="A30">
        <v>834</v>
      </c>
    </row>
    <row r="31" spans="1:1" x14ac:dyDescent="0.2">
      <c r="A31">
        <v>4653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Input_Button1_2_Click">
                <anchor moveWithCells="1" sizeWithCells="1">
                  <from>
                    <xdr:col>3</xdr:col>
                    <xdr:colOff>520700</xdr:colOff>
                    <xdr:row>17</xdr:row>
                    <xdr:rowOff>0</xdr:rowOff>
                  </from>
                  <to>
                    <xdr:col>4</xdr:col>
                    <xdr:colOff>762000</xdr:colOff>
                    <xdr:row>21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1074" r:id="rId4" name="Button 2">
              <controlPr defaultSize="0" print="0" autoFill="0" autoPict="0" macro="[0]!Input_Button2_Click">
                <anchor moveWithCells="1" sizeWithCells="1">
                  <from>
                    <xdr:col>6</xdr:col>
                    <xdr:colOff>444500</xdr:colOff>
                    <xdr:row>17</xdr:row>
                    <xdr:rowOff>0</xdr:rowOff>
                  </from>
                  <to>
                    <xdr:col>7</xdr:col>
                    <xdr:colOff>685800</xdr:colOff>
                    <xdr:row>22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 enableFormatConditionsCalculation="0"/>
  <dimension ref="A1:BN94"/>
  <sheetViews>
    <sheetView workbookViewId="0">
      <selection activeCell="I3" sqref="I3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J4">
        <v>4</v>
      </c>
      <c r="K4">
        <v>5</v>
      </c>
      <c r="N4">
        <v>4</v>
      </c>
      <c r="Q4">
        <v>6</v>
      </c>
      <c r="R4">
        <v>4</v>
      </c>
      <c r="S4">
        <v>1</v>
      </c>
      <c r="T4">
        <v>1</v>
      </c>
    </row>
    <row r="5" spans="1:66" x14ac:dyDescent="0.2">
      <c r="A5">
        <v>2</v>
      </c>
      <c r="B5">
        <v>17</v>
      </c>
      <c r="K5">
        <v>6</v>
      </c>
      <c r="L5">
        <v>3</v>
      </c>
      <c r="M5">
        <v>3</v>
      </c>
      <c r="Q5">
        <v>3</v>
      </c>
      <c r="R5">
        <v>3</v>
      </c>
    </row>
    <row r="6" spans="1:66" x14ac:dyDescent="0.2">
      <c r="A6">
        <v>3</v>
      </c>
      <c r="B6">
        <v>28</v>
      </c>
      <c r="C6">
        <v>1</v>
      </c>
      <c r="J6">
        <v>3</v>
      </c>
      <c r="K6">
        <v>7</v>
      </c>
      <c r="L6">
        <v>6</v>
      </c>
      <c r="M6">
        <v>6</v>
      </c>
      <c r="N6">
        <v>4</v>
      </c>
      <c r="Q6">
        <v>1</v>
      </c>
      <c r="R6">
        <v>1</v>
      </c>
      <c r="X6">
        <v>1</v>
      </c>
    </row>
    <row r="7" spans="1:66" x14ac:dyDescent="0.2">
      <c r="A7">
        <v>4</v>
      </c>
      <c r="B7">
        <v>33</v>
      </c>
      <c r="C7">
        <v>1</v>
      </c>
      <c r="J7">
        <v>1</v>
      </c>
      <c r="K7">
        <v>2</v>
      </c>
      <c r="N7">
        <v>4</v>
      </c>
      <c r="X7">
        <v>1</v>
      </c>
    </row>
    <row r="8" spans="1:66" x14ac:dyDescent="0.2">
      <c r="A8">
        <v>5</v>
      </c>
      <c r="B8">
        <v>43</v>
      </c>
      <c r="K8">
        <v>11</v>
      </c>
      <c r="L8">
        <v>6</v>
      </c>
      <c r="M8">
        <v>6</v>
      </c>
      <c r="Q8">
        <v>6</v>
      </c>
      <c r="R8">
        <v>6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59</v>
      </c>
      <c r="K9">
        <v>12</v>
      </c>
      <c r="L9">
        <v>9</v>
      </c>
      <c r="M9">
        <v>9</v>
      </c>
      <c r="Q9">
        <v>3</v>
      </c>
      <c r="R9">
        <v>3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66</v>
      </c>
      <c r="C10">
        <v>1</v>
      </c>
      <c r="J10">
        <v>2</v>
      </c>
      <c r="K10">
        <v>3</v>
      </c>
      <c r="N10">
        <v>4</v>
      </c>
      <c r="S10">
        <v>1</v>
      </c>
      <c r="T10">
        <v>1</v>
      </c>
    </row>
    <row r="11" spans="1:66" x14ac:dyDescent="0.2">
      <c r="A11">
        <v>8</v>
      </c>
      <c r="B11">
        <v>76</v>
      </c>
      <c r="K11">
        <v>10</v>
      </c>
      <c r="L11">
        <v>8</v>
      </c>
      <c r="M11">
        <v>8</v>
      </c>
      <c r="Q11">
        <v>2</v>
      </c>
      <c r="R11">
        <v>2</v>
      </c>
      <c r="X11">
        <v>1</v>
      </c>
    </row>
    <row r="12" spans="1:66" x14ac:dyDescent="0.2">
      <c r="A12">
        <v>9</v>
      </c>
      <c r="B12">
        <v>87</v>
      </c>
      <c r="J12">
        <v>4</v>
      </c>
      <c r="K12">
        <v>3</v>
      </c>
      <c r="N12">
        <v>6</v>
      </c>
    </row>
    <row r="13" spans="1:66" x14ac:dyDescent="0.2">
      <c r="A13">
        <v>10</v>
      </c>
      <c r="B13">
        <v>97</v>
      </c>
      <c r="K13">
        <v>12</v>
      </c>
      <c r="L13">
        <v>9</v>
      </c>
      <c r="M13">
        <v>9</v>
      </c>
      <c r="Q13">
        <v>3</v>
      </c>
      <c r="R13">
        <v>3</v>
      </c>
      <c r="X13">
        <v>1</v>
      </c>
    </row>
    <row r="14" spans="1:66" x14ac:dyDescent="0.2">
      <c r="A14">
        <v>11</v>
      </c>
      <c r="B14">
        <v>108</v>
      </c>
      <c r="K14">
        <v>9</v>
      </c>
      <c r="L14">
        <v>9</v>
      </c>
      <c r="M14">
        <v>9</v>
      </c>
      <c r="O14">
        <v>1</v>
      </c>
      <c r="P14">
        <v>1</v>
      </c>
      <c r="U14">
        <v>1</v>
      </c>
      <c r="V14">
        <v>1</v>
      </c>
      <c r="W14" t="s">
        <v>189</v>
      </c>
    </row>
    <row r="15" spans="1:66" x14ac:dyDescent="0.2">
      <c r="A15">
        <v>12</v>
      </c>
      <c r="B15">
        <v>117</v>
      </c>
      <c r="C15">
        <v>1</v>
      </c>
      <c r="K15">
        <v>14</v>
      </c>
      <c r="L15">
        <v>11</v>
      </c>
      <c r="M15">
        <v>9</v>
      </c>
      <c r="Q15">
        <v>3</v>
      </c>
      <c r="R15">
        <v>3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0</v>
      </c>
      <c r="I16">
        <f t="shared" si="0"/>
        <v>0</v>
      </c>
      <c r="J16">
        <f t="shared" si="0"/>
        <v>14</v>
      </c>
      <c r="K16">
        <f t="shared" si="0"/>
        <v>94</v>
      </c>
      <c r="L16">
        <f t="shared" si="0"/>
        <v>61</v>
      </c>
      <c r="M16">
        <f t="shared" si="0"/>
        <v>59</v>
      </c>
      <c r="N16">
        <f t="shared" si="0"/>
        <v>22</v>
      </c>
      <c r="O16">
        <f t="shared" si="0"/>
        <v>1</v>
      </c>
      <c r="P16">
        <f t="shared" si="0"/>
        <v>1</v>
      </c>
      <c r="Q16">
        <f>SUM(Q4:Q15)</f>
        <v>27</v>
      </c>
      <c r="R16">
        <f>SUM(R4:R15)</f>
        <v>25</v>
      </c>
      <c r="S16">
        <f>SUM(S4:S15)</f>
        <v>4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 t="e">
        <f>COUNT(I4:I15)/COUNT(H4:H15)</f>
        <v>#DIV/0!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1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 t="e">
        <f>T66/S66</f>
        <v>#DIV/0!</v>
      </c>
      <c r="I22" t="s">
        <v>23</v>
      </c>
      <c r="N22">
        <f>AVERAGE(I54:I65)</f>
        <v>1.1666666666666667</v>
      </c>
      <c r="O22">
        <f>MEDIAN(I54:I65)</f>
        <v>0</v>
      </c>
      <c r="P22">
        <f>MAX(I54:I65)</f>
        <v>4</v>
      </c>
      <c r="Q22">
        <f>_xlfn.STDEV.S(I54:I65)</f>
        <v>1.6422453217986943</v>
      </c>
      <c r="S22">
        <f>V16/U16</f>
        <v>1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8.3333333333333329E-2</v>
      </c>
      <c r="J24">
        <f>MAX(A54:A65)</f>
        <v>1</v>
      </c>
      <c r="K24">
        <f>_xlfn.STDEV.S(A54:A65)</f>
        <v>0.28867513459481287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7.833333333333333</v>
      </c>
      <c r="O25">
        <f>MEDIAN(K54:K65)</f>
        <v>8</v>
      </c>
      <c r="P25">
        <f>MAX(K54:K65)</f>
        <v>14</v>
      </c>
      <c r="Q25">
        <f>_xlfn.STDEV.S(K54:K65)</f>
        <v>4.0638837969547694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</v>
      </c>
      <c r="I26">
        <f>R16/Q16</f>
        <v>0.92592592592592593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0.12962962962962962</v>
      </c>
    </row>
    <row r="29" spans="1:66" x14ac:dyDescent="0.2">
      <c r="D29" t="e">
        <f>_xlfn.STDEV.S(A68:A79)</f>
        <v>#DIV/0!</v>
      </c>
      <c r="I29">
        <f>AVERAGE(C54:C65)</f>
        <v>2.0833333333333335</v>
      </c>
      <c r="J29">
        <f>MAX(C54:C65)</f>
        <v>6</v>
      </c>
      <c r="K29">
        <f>_xlfn.STDEV.S(C54:C65)</f>
        <v>1.9286515936521478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0.87037037037037035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0.96721311475409832</v>
      </c>
      <c r="L31">
        <f>K80/I80</f>
        <v>0.88235294117647056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4.916666666666667</v>
      </c>
      <c r="J34">
        <f>MAX(E54:E65)</f>
        <v>9</v>
      </c>
      <c r="K34">
        <f>_xlfn.STDEV.S(E54:E65)</f>
        <v>4.0330077504452575</v>
      </c>
      <c r="L34">
        <f>AVERAGE(K68:K79)</f>
        <v>3.75</v>
      </c>
      <c r="M34">
        <f>MAX(K68:K79)</f>
        <v>9</v>
      </c>
      <c r="N34">
        <f>_xlfn.STDEV.S(K68:K79)</f>
        <v>4.5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1.8333333333333333</v>
      </c>
      <c r="J37">
        <f>MAX(G54:G65)</f>
        <v>6</v>
      </c>
      <c r="K37">
        <f>_xlfn.STDEV.S(G54:G65)</f>
        <v>2.3290003057626301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4</v>
      </c>
      <c r="E54">
        <f t="shared" ref="E54:E65" si="3">IF(ISBLANK(B4),"",M4)</f>
        <v>0</v>
      </c>
      <c r="G54">
        <f t="shared" ref="G54:G65" si="4">IF(ISBLANK(B4),"",N4)</f>
        <v>4</v>
      </c>
      <c r="I54">
        <f t="shared" ref="I54:I65" si="5">IF(ISBLANK(B4),"",J4)</f>
        <v>4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3</v>
      </c>
      <c r="E55">
        <f t="shared" si="3"/>
        <v>3</v>
      </c>
      <c r="G55">
        <f t="shared" si="4"/>
        <v>0</v>
      </c>
      <c r="I55">
        <f t="shared" si="5"/>
        <v>0</v>
      </c>
      <c r="K55">
        <f t="shared" si="6"/>
        <v>6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6</v>
      </c>
      <c r="G56">
        <f t="shared" si="4"/>
        <v>4</v>
      </c>
      <c r="I56">
        <f t="shared" si="5"/>
        <v>3</v>
      </c>
      <c r="K56">
        <f t="shared" si="6"/>
        <v>7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4</v>
      </c>
      <c r="I57">
        <f t="shared" si="5"/>
        <v>1</v>
      </c>
      <c r="K57">
        <f t="shared" si="6"/>
        <v>2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6</v>
      </c>
      <c r="E58">
        <f t="shared" si="3"/>
        <v>6</v>
      </c>
      <c r="G58">
        <f t="shared" si="4"/>
        <v>0</v>
      </c>
      <c r="I58">
        <f t="shared" si="5"/>
        <v>0</v>
      </c>
      <c r="K58">
        <f t="shared" si="6"/>
        <v>11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3</v>
      </c>
      <c r="E59">
        <f t="shared" si="3"/>
        <v>9</v>
      </c>
      <c r="G59">
        <f t="shared" si="4"/>
        <v>0</v>
      </c>
      <c r="I59">
        <f t="shared" si="5"/>
        <v>0</v>
      </c>
      <c r="K59">
        <f t="shared" si="6"/>
        <v>12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0</v>
      </c>
      <c r="G60">
        <f t="shared" si="4"/>
        <v>4</v>
      </c>
      <c r="I60">
        <f t="shared" si="5"/>
        <v>2</v>
      </c>
      <c r="K60">
        <f t="shared" si="6"/>
        <v>3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8</v>
      </c>
      <c r="G61">
        <f t="shared" si="4"/>
        <v>0</v>
      </c>
      <c r="I61">
        <f t="shared" si="5"/>
        <v>0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0</v>
      </c>
      <c r="G62">
        <f t="shared" si="4"/>
        <v>6</v>
      </c>
      <c r="I62">
        <f t="shared" si="5"/>
        <v>4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3</v>
      </c>
      <c r="E63">
        <f t="shared" si="3"/>
        <v>9</v>
      </c>
      <c r="G63">
        <f t="shared" si="4"/>
        <v>0</v>
      </c>
      <c r="I63">
        <f t="shared" si="5"/>
        <v>0</v>
      </c>
      <c r="K63">
        <f t="shared" si="6"/>
        <v>12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9</v>
      </c>
      <c r="G64">
        <f t="shared" si="4"/>
        <v>0</v>
      </c>
      <c r="I64">
        <f t="shared" si="5"/>
        <v>0</v>
      </c>
      <c r="K64">
        <f t="shared" si="6"/>
        <v>9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>
        <f t="shared" si="17"/>
        <v>1</v>
      </c>
      <c r="AE64">
        <f t="shared" si="18"/>
        <v>1</v>
      </c>
    </row>
    <row r="65" spans="1:31" x14ac:dyDescent="0.2">
      <c r="A65">
        <f t="shared" si="1"/>
        <v>0</v>
      </c>
      <c r="C65">
        <f t="shared" si="2"/>
        <v>3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14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0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7.083333333333333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6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7</v>
      </c>
      <c r="I70">
        <f t="shared" si="22"/>
        <v>6</v>
      </c>
      <c r="K70">
        <f t="shared" si="23"/>
        <v>6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0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12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12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0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10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0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12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10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12</v>
      </c>
      <c r="I79">
        <f t="shared" si="22"/>
        <v>11</v>
      </c>
      <c r="K79">
        <f t="shared" si="23"/>
        <v>9</v>
      </c>
    </row>
    <row r="80" spans="1:31" x14ac:dyDescent="0.2">
      <c r="H80" t="s">
        <v>168</v>
      </c>
      <c r="I80">
        <f>SUM(I68:I79)</f>
        <v>17</v>
      </c>
      <c r="K80">
        <f>SUM(K68:K79)</f>
        <v>15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 enableFormatConditionsCalculation="0"/>
  <dimension ref="A1:BN94"/>
  <sheetViews>
    <sheetView workbookViewId="0">
      <selection activeCell="B82" sqref="B82:H93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D4" t="s">
        <v>185</v>
      </c>
      <c r="E4">
        <v>1</v>
      </c>
      <c r="K4">
        <v>7</v>
      </c>
      <c r="O4">
        <v>5</v>
      </c>
      <c r="P4">
        <v>5</v>
      </c>
      <c r="Q4">
        <v>1</v>
      </c>
      <c r="R4">
        <v>1</v>
      </c>
      <c r="S4">
        <v>1</v>
      </c>
      <c r="T4">
        <v>1</v>
      </c>
      <c r="U4">
        <v>1</v>
      </c>
      <c r="W4" t="s">
        <v>189</v>
      </c>
      <c r="X4">
        <v>1</v>
      </c>
    </row>
    <row r="5" spans="1:66" x14ac:dyDescent="0.2">
      <c r="A5">
        <v>2</v>
      </c>
      <c r="B5">
        <v>20</v>
      </c>
      <c r="C5">
        <v>1</v>
      </c>
      <c r="D5" t="s">
        <v>188</v>
      </c>
      <c r="E5">
        <v>1</v>
      </c>
      <c r="J5">
        <v>1</v>
      </c>
      <c r="K5">
        <v>14</v>
      </c>
      <c r="L5">
        <v>8</v>
      </c>
      <c r="M5">
        <v>8</v>
      </c>
      <c r="O5">
        <v>5</v>
      </c>
      <c r="P5">
        <v>5</v>
      </c>
      <c r="Q5">
        <v>2</v>
      </c>
      <c r="R5">
        <v>2</v>
      </c>
      <c r="X5">
        <v>1</v>
      </c>
    </row>
    <row r="6" spans="1:66" x14ac:dyDescent="0.2">
      <c r="A6">
        <v>3</v>
      </c>
      <c r="B6">
        <v>29</v>
      </c>
      <c r="D6" t="s">
        <v>185</v>
      </c>
      <c r="E6">
        <v>1</v>
      </c>
      <c r="K6">
        <v>9</v>
      </c>
      <c r="L6">
        <v>3</v>
      </c>
      <c r="M6">
        <v>3</v>
      </c>
      <c r="O6">
        <v>5</v>
      </c>
      <c r="P6">
        <v>4</v>
      </c>
      <c r="Q6">
        <v>3</v>
      </c>
      <c r="R6">
        <v>3</v>
      </c>
      <c r="X6">
        <v>1</v>
      </c>
    </row>
    <row r="7" spans="1:66" x14ac:dyDescent="0.2">
      <c r="A7">
        <v>4</v>
      </c>
      <c r="B7">
        <v>38</v>
      </c>
      <c r="C7">
        <v>1</v>
      </c>
      <c r="D7" t="s">
        <v>185</v>
      </c>
      <c r="E7">
        <v>1</v>
      </c>
      <c r="K7">
        <v>9</v>
      </c>
      <c r="L7">
        <v>10</v>
      </c>
      <c r="O7">
        <v>10</v>
      </c>
      <c r="P7">
        <v>6</v>
      </c>
      <c r="X7">
        <v>1</v>
      </c>
    </row>
    <row r="8" spans="1:66" x14ac:dyDescent="0.2">
      <c r="A8">
        <v>5</v>
      </c>
      <c r="B8">
        <v>44</v>
      </c>
      <c r="D8" t="s">
        <v>185</v>
      </c>
      <c r="E8">
        <v>1</v>
      </c>
      <c r="J8">
        <v>1</v>
      </c>
      <c r="K8">
        <v>12</v>
      </c>
      <c r="L8">
        <v>5</v>
      </c>
      <c r="M8">
        <v>5</v>
      </c>
      <c r="O8">
        <v>4</v>
      </c>
      <c r="P8">
        <v>3</v>
      </c>
      <c r="Q8">
        <v>3</v>
      </c>
      <c r="R8">
        <v>3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52</v>
      </c>
      <c r="C9">
        <v>1</v>
      </c>
      <c r="D9" t="s">
        <v>188</v>
      </c>
      <c r="E9">
        <v>1</v>
      </c>
      <c r="F9">
        <v>1</v>
      </c>
      <c r="J9">
        <v>2</v>
      </c>
      <c r="K9">
        <v>7</v>
      </c>
      <c r="L9">
        <v>2</v>
      </c>
      <c r="M9">
        <v>2</v>
      </c>
      <c r="O9">
        <v>5</v>
      </c>
      <c r="P9">
        <v>4</v>
      </c>
      <c r="Q9">
        <v>2</v>
      </c>
      <c r="R9">
        <v>2</v>
      </c>
      <c r="X9">
        <v>1</v>
      </c>
    </row>
    <row r="10" spans="1:66" x14ac:dyDescent="0.2">
      <c r="A10">
        <v>7</v>
      </c>
      <c r="B10">
        <v>68</v>
      </c>
      <c r="D10" t="s">
        <v>188</v>
      </c>
      <c r="E10">
        <v>1</v>
      </c>
      <c r="F10">
        <v>1</v>
      </c>
      <c r="J10">
        <v>1</v>
      </c>
      <c r="K10">
        <v>3</v>
      </c>
      <c r="Q10">
        <v>3</v>
      </c>
      <c r="R10">
        <v>3</v>
      </c>
      <c r="U10">
        <v>1</v>
      </c>
      <c r="V10">
        <v>1</v>
      </c>
      <c r="W10" t="s">
        <v>189</v>
      </c>
    </row>
    <row r="11" spans="1:66" x14ac:dyDescent="0.2">
      <c r="A11">
        <v>8</v>
      </c>
      <c r="B11">
        <v>74</v>
      </c>
      <c r="G11" t="s">
        <v>188</v>
      </c>
      <c r="H11">
        <v>2</v>
      </c>
      <c r="I11">
        <v>2</v>
      </c>
      <c r="J11">
        <v>1</v>
      </c>
      <c r="K11">
        <v>9</v>
      </c>
      <c r="L11">
        <v>2</v>
      </c>
      <c r="M11">
        <v>2</v>
      </c>
      <c r="O11">
        <v>6</v>
      </c>
      <c r="P11">
        <v>5</v>
      </c>
      <c r="Q11">
        <v>1</v>
      </c>
      <c r="R11">
        <v>1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86</v>
      </c>
      <c r="C12">
        <v>1</v>
      </c>
      <c r="G12" t="s">
        <v>188</v>
      </c>
      <c r="H12">
        <v>2</v>
      </c>
      <c r="I12">
        <v>1</v>
      </c>
      <c r="J12">
        <v>2</v>
      </c>
      <c r="K12">
        <v>7</v>
      </c>
      <c r="L12">
        <v>6</v>
      </c>
      <c r="M12">
        <v>6</v>
      </c>
      <c r="N12">
        <v>4</v>
      </c>
      <c r="O12">
        <v>4</v>
      </c>
      <c r="X12">
        <v>1</v>
      </c>
    </row>
    <row r="13" spans="1:66" x14ac:dyDescent="0.2">
      <c r="A13">
        <v>10</v>
      </c>
      <c r="B13">
        <v>100</v>
      </c>
      <c r="D13" t="s">
        <v>185</v>
      </c>
      <c r="E13">
        <v>1</v>
      </c>
      <c r="F13">
        <v>1</v>
      </c>
      <c r="J13">
        <v>4</v>
      </c>
      <c r="K13">
        <v>7</v>
      </c>
      <c r="N13">
        <v>3</v>
      </c>
      <c r="O13">
        <v>7</v>
      </c>
      <c r="P13">
        <v>6</v>
      </c>
      <c r="X13">
        <v>1</v>
      </c>
    </row>
    <row r="14" spans="1:66" x14ac:dyDescent="0.2">
      <c r="A14">
        <v>11</v>
      </c>
      <c r="B14">
        <v>107</v>
      </c>
      <c r="D14" t="s">
        <v>185</v>
      </c>
      <c r="E14">
        <v>1</v>
      </c>
      <c r="F14">
        <v>1</v>
      </c>
      <c r="J14">
        <v>2</v>
      </c>
      <c r="K14">
        <v>7</v>
      </c>
      <c r="O14">
        <v>6</v>
      </c>
      <c r="P14">
        <v>6</v>
      </c>
      <c r="Q14">
        <v>3</v>
      </c>
      <c r="R14">
        <v>3</v>
      </c>
      <c r="X14">
        <v>1</v>
      </c>
    </row>
    <row r="15" spans="1:66" x14ac:dyDescent="0.2">
      <c r="A15">
        <v>12</v>
      </c>
      <c r="B15">
        <v>119</v>
      </c>
      <c r="J15">
        <v>3</v>
      </c>
      <c r="K15">
        <v>3</v>
      </c>
      <c r="N15">
        <v>1</v>
      </c>
      <c r="O15">
        <v>4</v>
      </c>
      <c r="P15">
        <v>4</v>
      </c>
      <c r="Q15">
        <v>2</v>
      </c>
      <c r="R15">
        <v>2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9</v>
      </c>
      <c r="F16">
        <f>SUM(F4:F15)</f>
        <v>4</v>
      </c>
      <c r="H16">
        <f t="shared" ref="H16:P16" si="0">SUM(H4:H15)</f>
        <v>4</v>
      </c>
      <c r="I16">
        <f t="shared" si="0"/>
        <v>3</v>
      </c>
      <c r="J16">
        <f t="shared" si="0"/>
        <v>17</v>
      </c>
      <c r="K16">
        <f t="shared" si="0"/>
        <v>94</v>
      </c>
      <c r="L16">
        <f t="shared" si="0"/>
        <v>36</v>
      </c>
      <c r="M16">
        <f t="shared" si="0"/>
        <v>26</v>
      </c>
      <c r="N16">
        <f t="shared" si="0"/>
        <v>8</v>
      </c>
      <c r="O16">
        <f t="shared" si="0"/>
        <v>61</v>
      </c>
      <c r="P16">
        <f t="shared" si="0"/>
        <v>48</v>
      </c>
      <c r="Q16">
        <f>SUM(Q4:Q15)</f>
        <v>20</v>
      </c>
      <c r="R16">
        <f>SUM(R4:R15)</f>
        <v>20</v>
      </c>
      <c r="S16">
        <f>SUM(S4:S15)</f>
        <v>4</v>
      </c>
      <c r="T16">
        <v>0</v>
      </c>
      <c r="U16">
        <f>SUM(U4:U15)</f>
        <v>2</v>
      </c>
      <c r="V16">
        <f>SUM(V4:V15)</f>
        <v>1</v>
      </c>
      <c r="W16">
        <f>SUM(W4:W15)</f>
        <v>0</v>
      </c>
      <c r="X16">
        <f>SUM(X4:X15)</f>
        <v>11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0.44444444444444442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0.78688524590163933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0.33333333333333331</v>
      </c>
      <c r="F22" t="e">
        <f>T66/S66</f>
        <v>#DIV/0!</v>
      </c>
      <c r="I22" t="s">
        <v>23</v>
      </c>
      <c r="N22">
        <f>AVERAGE(I54:I65)</f>
        <v>1.4166666666666667</v>
      </c>
      <c r="O22">
        <f>MEDIAN(I54:I65)</f>
        <v>1</v>
      </c>
      <c r="P22">
        <f>MAX(I54:I65)</f>
        <v>4</v>
      </c>
      <c r="Q22">
        <f>_xlfn.STDEV.S(I54:I65)</f>
        <v>1.2401124093721456</v>
      </c>
      <c r="S22">
        <f>V16/U16</f>
        <v>0.5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0.66666666666666663</v>
      </c>
      <c r="F24">
        <f>V66/U66</f>
        <v>0.75</v>
      </c>
      <c r="I24">
        <f>AVERAGE(A54:A65)</f>
        <v>4</v>
      </c>
      <c r="J24">
        <f>MAX(A54:A65)</f>
        <v>6</v>
      </c>
      <c r="K24">
        <f>_xlfn.STDEV.S(A54:A65)</f>
        <v>2.088931871468374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0.5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7.833333333333333</v>
      </c>
      <c r="O25">
        <f>MEDIAN(K54:K65)</f>
        <v>7</v>
      </c>
      <c r="P25">
        <f>MAX(K54:K65)</f>
        <v>14</v>
      </c>
      <c r="Q25">
        <f>_xlfn.STDEV.S(K54:K65)</f>
        <v>3.1574826950748229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0.33333333333333331</v>
      </c>
      <c r="F26">
        <f>I16/A19</f>
        <v>0.25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0.15315315315315314</v>
      </c>
    </row>
    <row r="29" spans="1:66" x14ac:dyDescent="0.2">
      <c r="D29">
        <f>_xlfn.STDEV.S(A68:A79)</f>
        <v>0.70710678118654757</v>
      </c>
      <c r="I29">
        <f>AVERAGE(C54:C65)</f>
        <v>1.6666666666666667</v>
      </c>
      <c r="J29">
        <f>MAX(C54:C65)</f>
        <v>3</v>
      </c>
      <c r="K29">
        <f>_xlfn.STDEV.S(C54:C65)</f>
        <v>1.2309149097933272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0.84684684684684686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0.72222222222222221</v>
      </c>
      <c r="L31">
        <f>K80/I80</f>
        <v>0.61538461538461542</v>
      </c>
    </row>
    <row r="32" spans="1:66" x14ac:dyDescent="0.2">
      <c r="D32" t="e">
        <f>D94/B94</f>
        <v>#DIV/0!</v>
      </c>
      <c r="F32">
        <f>H94/F94</f>
        <v>0.75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2.1666666666666665</v>
      </c>
      <c r="J34">
        <f>MAX(E54:E65)</f>
        <v>8</v>
      </c>
      <c r="K34">
        <f>_xlfn.STDEV.S(E54:E65)</f>
        <v>2.7906771199618898</v>
      </c>
      <c r="L34">
        <f>AVERAGE(K68:K79)</f>
        <v>4</v>
      </c>
      <c r="M34">
        <f>MAX(K68:K79)</f>
        <v>8</v>
      </c>
      <c r="N34">
        <f>_xlfn.STDEV.S(K68:K79)</f>
        <v>3.6514837167011076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0.66666666666666663</v>
      </c>
      <c r="J37">
        <f>MAX(G54:G65)</f>
        <v>4</v>
      </c>
      <c r="K37">
        <f>_xlfn.STDEV.S(G54:G65)</f>
        <v>1.3706888336846839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7</v>
      </c>
      <c r="N54">
        <f t="shared" ref="N54:N65" si="7">IF($D4="d", $E4, "")</f>
        <v>1</v>
      </c>
      <c r="O54">
        <f t="shared" ref="O54:O65" si="8">IF($D4="d", $F4, "")</f>
        <v>0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>
        <f t="shared" ref="AC54:AC65" si="17">IF(ISBLANK(B4),"",IF(W4="o",U4,""))</f>
        <v>1</v>
      </c>
      <c r="AE54">
        <f t="shared" ref="AE54:AE65" si="18">IF(ISBLANK(B4),"",IF(W4="o",V4,""))</f>
        <v>0</v>
      </c>
    </row>
    <row r="55" spans="1:44" x14ac:dyDescent="0.2">
      <c r="A55">
        <f t="shared" si="1"/>
        <v>5</v>
      </c>
      <c r="C55">
        <f t="shared" si="2"/>
        <v>2</v>
      </c>
      <c r="E55">
        <f t="shared" si="3"/>
        <v>8</v>
      </c>
      <c r="G55">
        <f t="shared" si="4"/>
        <v>0</v>
      </c>
      <c r="I55">
        <f t="shared" si="5"/>
        <v>1</v>
      </c>
      <c r="K55">
        <f t="shared" si="6"/>
        <v>14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0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3</v>
      </c>
      <c r="E56">
        <f t="shared" si="3"/>
        <v>3</v>
      </c>
      <c r="G56">
        <f t="shared" si="4"/>
        <v>0</v>
      </c>
      <c r="I56">
        <f t="shared" si="5"/>
        <v>0</v>
      </c>
      <c r="K56">
        <f t="shared" si="6"/>
        <v>9</v>
      </c>
      <c r="N56">
        <f t="shared" si="7"/>
        <v>1</v>
      </c>
      <c r="O56">
        <f t="shared" si="8"/>
        <v>0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6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9</v>
      </c>
      <c r="N57">
        <f t="shared" si="7"/>
        <v>1</v>
      </c>
      <c r="O57">
        <f t="shared" si="8"/>
        <v>0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3</v>
      </c>
      <c r="E58">
        <f t="shared" si="3"/>
        <v>5</v>
      </c>
      <c r="G58">
        <f t="shared" si="4"/>
        <v>0</v>
      </c>
      <c r="I58">
        <f t="shared" si="5"/>
        <v>1</v>
      </c>
      <c r="K58">
        <f t="shared" si="6"/>
        <v>12</v>
      </c>
      <c r="N58">
        <f t="shared" si="7"/>
        <v>1</v>
      </c>
      <c r="O58">
        <f t="shared" si="8"/>
        <v>0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2</v>
      </c>
      <c r="E59">
        <f t="shared" si="3"/>
        <v>2</v>
      </c>
      <c r="G59">
        <f t="shared" si="4"/>
        <v>0</v>
      </c>
      <c r="I59">
        <f t="shared" si="5"/>
        <v>2</v>
      </c>
      <c r="K59">
        <f t="shared" si="6"/>
        <v>7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1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3</v>
      </c>
      <c r="E60">
        <f t="shared" si="3"/>
        <v>0</v>
      </c>
      <c r="G60">
        <f t="shared" si="4"/>
        <v>0</v>
      </c>
      <c r="I60">
        <f t="shared" si="5"/>
        <v>1</v>
      </c>
      <c r="K60">
        <f t="shared" si="6"/>
        <v>3</v>
      </c>
      <c r="N60" t="str">
        <f t="shared" si="7"/>
        <v/>
      </c>
      <c r="O60" t="str">
        <f t="shared" si="8"/>
        <v/>
      </c>
      <c r="P60">
        <f t="shared" si="9"/>
        <v>1</v>
      </c>
      <c r="Q60">
        <f t="shared" si="10"/>
        <v>1</v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>
        <f t="shared" si="17"/>
        <v>1</v>
      </c>
      <c r="AE60">
        <f t="shared" si="18"/>
        <v>1</v>
      </c>
    </row>
    <row r="61" spans="1:44" x14ac:dyDescent="0.2">
      <c r="A61">
        <f t="shared" si="1"/>
        <v>5</v>
      </c>
      <c r="C61">
        <f t="shared" si="2"/>
        <v>1</v>
      </c>
      <c r="E61">
        <f t="shared" si="3"/>
        <v>2</v>
      </c>
      <c r="G61">
        <f t="shared" si="4"/>
        <v>0</v>
      </c>
      <c r="I61">
        <f t="shared" si="5"/>
        <v>1</v>
      </c>
      <c r="K61">
        <f t="shared" si="6"/>
        <v>9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2</v>
      </c>
      <c r="V61">
        <f t="shared" si="14"/>
        <v>2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6</v>
      </c>
      <c r="G62">
        <f t="shared" si="4"/>
        <v>4</v>
      </c>
      <c r="I62">
        <f t="shared" si="5"/>
        <v>2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6</v>
      </c>
      <c r="C63">
        <f t="shared" si="2"/>
        <v>0</v>
      </c>
      <c r="E63">
        <f t="shared" si="3"/>
        <v>0</v>
      </c>
      <c r="G63">
        <f t="shared" si="4"/>
        <v>3</v>
      </c>
      <c r="I63">
        <f t="shared" si="5"/>
        <v>4</v>
      </c>
      <c r="K63">
        <f t="shared" si="6"/>
        <v>7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6</v>
      </c>
      <c r="C64">
        <f t="shared" si="2"/>
        <v>3</v>
      </c>
      <c r="E64">
        <f t="shared" si="3"/>
        <v>0</v>
      </c>
      <c r="G64">
        <f t="shared" si="4"/>
        <v>0</v>
      </c>
      <c r="I64">
        <f t="shared" si="5"/>
        <v>2</v>
      </c>
      <c r="K64">
        <f t="shared" si="6"/>
        <v>7</v>
      </c>
      <c r="N64">
        <f t="shared" si="7"/>
        <v>1</v>
      </c>
      <c r="O64">
        <f t="shared" si="8"/>
        <v>1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2</v>
      </c>
      <c r="E65">
        <f t="shared" si="3"/>
        <v>0</v>
      </c>
      <c r="G65">
        <f t="shared" si="4"/>
        <v>1</v>
      </c>
      <c r="I65">
        <f t="shared" si="5"/>
        <v>3</v>
      </c>
      <c r="K65">
        <f t="shared" si="6"/>
        <v>3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6</v>
      </c>
      <c r="O66">
        <f>SUM(O54:O65)</f>
        <v>2</v>
      </c>
      <c r="P66">
        <f>SUM(P54:P65)</f>
        <v>3</v>
      </c>
      <c r="Q66">
        <f>SUM(Q54:Q65)</f>
        <v>2</v>
      </c>
      <c r="S66">
        <f>SUM(S54:S65)</f>
        <v>0</v>
      </c>
      <c r="T66">
        <f>SUM(T54:T65)</f>
        <v>0</v>
      </c>
      <c r="U66">
        <f>SUM(U54:U65)</f>
        <v>4</v>
      </c>
      <c r="V66">
        <f>SUM(V54:V65)</f>
        <v>3</v>
      </c>
      <c r="Y66">
        <f>SUM(Y54:Y65)</f>
        <v>0</v>
      </c>
      <c r="AA66">
        <f>SUM(AA54:AA65)</f>
        <v>0</v>
      </c>
      <c r="AC66">
        <f>SUM(AC54:AC65)</f>
        <v>2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6</v>
      </c>
      <c r="G68">
        <f>AVERAGE(E68:E79)</f>
        <v>8.4166666666666661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15</v>
      </c>
      <c r="I69">
        <f t="shared" ref="I69:I79" si="22">IF(ISBLANK(B5)+ISBLANK(C5), "", L5)</f>
        <v>8</v>
      </c>
      <c r="K69">
        <f t="shared" ref="K69:K79" si="23">IF(ISBLANK(B5)+ISBLANK(C5), "", M5)</f>
        <v>8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10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6</v>
      </c>
      <c r="I71">
        <f t="shared" si="22"/>
        <v>10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11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9</v>
      </c>
      <c r="I73">
        <f t="shared" si="22"/>
        <v>2</v>
      </c>
      <c r="K73">
        <f t="shared" si="23"/>
        <v>2</v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2</v>
      </c>
      <c r="C75">
        <f t="shared" si="20"/>
        <v>0</v>
      </c>
      <c r="E75">
        <f t="shared" si="21"/>
        <v>10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7</v>
      </c>
      <c r="I76">
        <f t="shared" si="22"/>
        <v>6</v>
      </c>
      <c r="K76">
        <f t="shared" si="23"/>
        <v>6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7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10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6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26</v>
      </c>
      <c r="K80">
        <f>SUM(K68:K79)</f>
        <v>16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>
        <f t="shared" si="26"/>
        <v>2</v>
      </c>
      <c r="H89">
        <f t="shared" si="27"/>
        <v>2</v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1</v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4</v>
      </c>
      <c r="H94">
        <f>SUM(H82:H93)</f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 enableFormatConditionsCalculation="0"/>
  <dimension ref="A1:BN94"/>
  <sheetViews>
    <sheetView topLeftCell="B1" workbookViewId="0">
      <selection activeCell="E9" sqref="E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10</v>
      </c>
      <c r="D4" t="s">
        <v>185</v>
      </c>
      <c r="E4">
        <v>1</v>
      </c>
      <c r="K4">
        <v>6</v>
      </c>
      <c r="N4">
        <v>2</v>
      </c>
      <c r="O4">
        <v>4</v>
      </c>
      <c r="P4">
        <v>4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20</v>
      </c>
      <c r="K5">
        <v>1</v>
      </c>
      <c r="L5">
        <v>2</v>
      </c>
      <c r="M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28</v>
      </c>
      <c r="C6">
        <v>1</v>
      </c>
      <c r="K6">
        <v>5</v>
      </c>
      <c r="L6">
        <v>5</v>
      </c>
      <c r="M6">
        <v>5</v>
      </c>
      <c r="S6">
        <v>1</v>
      </c>
      <c r="X6">
        <v>1</v>
      </c>
    </row>
    <row r="7" spans="1:66" x14ac:dyDescent="0.2">
      <c r="A7">
        <v>4</v>
      </c>
      <c r="B7">
        <v>39</v>
      </c>
      <c r="G7" t="s">
        <v>188</v>
      </c>
      <c r="H7">
        <v>1</v>
      </c>
      <c r="K7">
        <v>2</v>
      </c>
      <c r="O7">
        <v>2</v>
      </c>
      <c r="P7">
        <v>2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48</v>
      </c>
      <c r="G8" t="s">
        <v>185</v>
      </c>
      <c r="H8">
        <v>1</v>
      </c>
      <c r="J8">
        <v>1</v>
      </c>
      <c r="K8">
        <v>5</v>
      </c>
      <c r="O8">
        <v>6</v>
      </c>
      <c r="P8">
        <v>6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53</v>
      </c>
      <c r="D9" t="s">
        <v>185</v>
      </c>
      <c r="E9">
        <v>1</v>
      </c>
      <c r="K9">
        <v>2</v>
      </c>
      <c r="O9">
        <v>2</v>
      </c>
      <c r="P9">
        <v>2</v>
      </c>
      <c r="X9">
        <v>1</v>
      </c>
    </row>
    <row r="10" spans="1:66" x14ac:dyDescent="0.2">
      <c r="A10">
        <v>7</v>
      </c>
      <c r="B10">
        <v>70</v>
      </c>
      <c r="C10">
        <v>1</v>
      </c>
      <c r="D10" t="s">
        <v>185</v>
      </c>
      <c r="E10">
        <v>1</v>
      </c>
      <c r="F10">
        <v>1</v>
      </c>
      <c r="J10">
        <v>1</v>
      </c>
      <c r="K10">
        <v>6</v>
      </c>
      <c r="N10">
        <v>1</v>
      </c>
      <c r="O10">
        <v>6</v>
      </c>
      <c r="P10">
        <v>5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76</v>
      </c>
      <c r="G11" t="s">
        <v>188</v>
      </c>
      <c r="H11">
        <v>1</v>
      </c>
      <c r="I11">
        <v>1</v>
      </c>
      <c r="K11">
        <v>4</v>
      </c>
      <c r="O11">
        <v>4</v>
      </c>
      <c r="P11">
        <v>3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88</v>
      </c>
      <c r="C12">
        <v>1</v>
      </c>
      <c r="G12" t="s">
        <v>188</v>
      </c>
      <c r="H12">
        <v>1</v>
      </c>
      <c r="I12">
        <v>1</v>
      </c>
      <c r="J12">
        <v>2</v>
      </c>
      <c r="K12">
        <v>4</v>
      </c>
      <c r="N12">
        <v>1</v>
      </c>
      <c r="O12">
        <v>3</v>
      </c>
      <c r="P12">
        <v>3</v>
      </c>
      <c r="X12">
        <v>1</v>
      </c>
    </row>
    <row r="13" spans="1:66" x14ac:dyDescent="0.2">
      <c r="A13">
        <v>10</v>
      </c>
      <c r="B13">
        <v>99</v>
      </c>
      <c r="C13">
        <v>1</v>
      </c>
      <c r="D13" t="s">
        <v>188</v>
      </c>
      <c r="E13">
        <v>1</v>
      </c>
      <c r="K13">
        <v>8</v>
      </c>
      <c r="L13">
        <v>1</v>
      </c>
      <c r="M13">
        <v>1</v>
      </c>
      <c r="O13">
        <v>8</v>
      </c>
      <c r="P13">
        <v>6</v>
      </c>
      <c r="X13">
        <v>1</v>
      </c>
    </row>
    <row r="14" spans="1:66" x14ac:dyDescent="0.2">
      <c r="A14">
        <v>11</v>
      </c>
      <c r="B14">
        <v>105</v>
      </c>
      <c r="D14" t="s">
        <v>185</v>
      </c>
      <c r="E14">
        <v>1</v>
      </c>
      <c r="F14">
        <v>1</v>
      </c>
      <c r="K14">
        <v>9</v>
      </c>
      <c r="L14">
        <v>3</v>
      </c>
      <c r="M14">
        <v>3</v>
      </c>
      <c r="O14">
        <v>5</v>
      </c>
      <c r="P14">
        <v>5</v>
      </c>
      <c r="Q14">
        <v>1</v>
      </c>
      <c r="R14">
        <v>1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116</v>
      </c>
      <c r="D15" t="s">
        <v>185</v>
      </c>
      <c r="E15">
        <v>1</v>
      </c>
      <c r="J15">
        <v>1</v>
      </c>
      <c r="K15">
        <v>3</v>
      </c>
      <c r="O15">
        <v>3</v>
      </c>
      <c r="P15">
        <v>3</v>
      </c>
      <c r="Q15">
        <v>1</v>
      </c>
      <c r="R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6</v>
      </c>
      <c r="F16">
        <f>SUM(F4:F15)</f>
        <v>2</v>
      </c>
      <c r="H16">
        <f t="shared" ref="H16:P16" si="0">SUM(H4:H15)</f>
        <v>4</v>
      </c>
      <c r="I16">
        <f t="shared" si="0"/>
        <v>2</v>
      </c>
      <c r="J16">
        <f t="shared" si="0"/>
        <v>5</v>
      </c>
      <c r="K16">
        <f t="shared" si="0"/>
        <v>55</v>
      </c>
      <c r="L16">
        <f t="shared" si="0"/>
        <v>11</v>
      </c>
      <c r="M16">
        <f t="shared" si="0"/>
        <v>11</v>
      </c>
      <c r="N16">
        <f t="shared" si="0"/>
        <v>4</v>
      </c>
      <c r="O16">
        <f t="shared" si="0"/>
        <v>43</v>
      </c>
      <c r="P16">
        <f t="shared" si="0"/>
        <v>39</v>
      </c>
      <c r="Q16">
        <f>SUM(Q4:Q15)</f>
        <v>2</v>
      </c>
      <c r="R16">
        <f>SUM(R4:R15)</f>
        <v>2</v>
      </c>
      <c r="S16">
        <f>SUM(S4:S15)</f>
        <v>7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11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0.33333333333333331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0.90697674418604646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0.4</v>
      </c>
      <c r="F22">
        <f>T66/S66</f>
        <v>0</v>
      </c>
      <c r="I22" t="s">
        <v>23</v>
      </c>
      <c r="N22">
        <f>AVERAGE(I54:I65)</f>
        <v>0.41666666666666669</v>
      </c>
      <c r="O22">
        <f>MEDIAN(I54:I65)</f>
        <v>0</v>
      </c>
      <c r="P22">
        <f>MAX(I54:I65)</f>
        <v>2</v>
      </c>
      <c r="Q22">
        <f>_xlfn.STDEV.S(I54:I65)</f>
        <v>0.66855792342152143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0.66666666666666663</v>
      </c>
      <c r="I24">
        <f>AVERAGE(A54:A65)</f>
        <v>3.25</v>
      </c>
      <c r="J24">
        <f>MAX(A54:A65)</f>
        <v>6</v>
      </c>
      <c r="K24">
        <f>_xlfn.STDEV.S(A54:A65)</f>
        <v>2.050498830661811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4.583333333333333</v>
      </c>
      <c r="O25">
        <f>MEDIAN(K54:K65)</f>
        <v>4.5</v>
      </c>
      <c r="P25">
        <f>MAX(K54:K65)</f>
        <v>9</v>
      </c>
      <c r="Q25">
        <f>_xlfn.STDEV.S(K54:K65)</f>
        <v>2.4293034292807372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0.16666666666666666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8.3333333333333329E-2</v>
      </c>
    </row>
    <row r="29" spans="1:66" x14ac:dyDescent="0.2">
      <c r="D29">
        <f>_xlfn.STDEV.S(A68:A79)</f>
        <v>0.57735026918962573</v>
      </c>
      <c r="I29">
        <f>AVERAGE(C54:C65)</f>
        <v>0.16666666666666666</v>
      </c>
      <c r="J29">
        <f>MAX(C54:C65)</f>
        <v>1</v>
      </c>
      <c r="K29">
        <f>_xlfn.STDEV.S(C54:C65)</f>
        <v>0.38924947208076149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0.91666666666666663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0.91666666666666663</v>
      </c>
      <c r="J34">
        <f>MAX(E54:E65)</f>
        <v>5</v>
      </c>
      <c r="K34">
        <f>_xlfn.STDEV.S(E54:E65)</f>
        <v>1.6213537179739277</v>
      </c>
      <c r="L34">
        <f>AVERAGE(K68:K79)</f>
        <v>1.5</v>
      </c>
      <c r="M34">
        <f>MAX(K68:K79)</f>
        <v>5</v>
      </c>
      <c r="N34">
        <f>_xlfn.STDEV.S(K68:K79)</f>
        <v>2.3804761428476167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0.33333333333333331</v>
      </c>
      <c r="J37">
        <f>MAX(G54:G65)</f>
        <v>2</v>
      </c>
      <c r="K37">
        <f>_xlfn.STDEV.S(G54:G65)</f>
        <v>0.6513389472789296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2</v>
      </c>
      <c r="I54">
        <f t="shared" ref="I54:I65" si="5">IF(ISBLANK(B4),"",J4)</f>
        <v>0</v>
      </c>
      <c r="K54">
        <f t="shared" ref="K54:K65" si="6">IF(ISBLANK(B4),"",K4)</f>
        <v>6</v>
      </c>
      <c r="N54">
        <f t="shared" ref="N54:N65" si="7">IF($D4="d", $E4, "")</f>
        <v>1</v>
      </c>
      <c r="O54">
        <f t="shared" ref="O54:O65" si="8">IF($D4="d", $F4, "")</f>
        <v>0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2</v>
      </c>
      <c r="G55">
        <f t="shared" si="4"/>
        <v>0</v>
      </c>
      <c r="I55">
        <f t="shared" si="5"/>
        <v>0</v>
      </c>
      <c r="K55">
        <f t="shared" si="6"/>
        <v>1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5</v>
      </c>
      <c r="G56">
        <f t="shared" si="4"/>
        <v>0</v>
      </c>
      <c r="I56">
        <f t="shared" si="5"/>
        <v>0</v>
      </c>
      <c r="K56">
        <f t="shared" si="6"/>
        <v>5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2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0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6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0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2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2</v>
      </c>
      <c r="N59">
        <f t="shared" si="7"/>
        <v>1</v>
      </c>
      <c r="O59">
        <f t="shared" si="8"/>
        <v>0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5</v>
      </c>
      <c r="C60">
        <f t="shared" si="2"/>
        <v>0</v>
      </c>
      <c r="E60">
        <f t="shared" si="3"/>
        <v>0</v>
      </c>
      <c r="G60">
        <f t="shared" si="4"/>
        <v>1</v>
      </c>
      <c r="I60">
        <f t="shared" si="5"/>
        <v>1</v>
      </c>
      <c r="K60">
        <f t="shared" si="6"/>
        <v>6</v>
      </c>
      <c r="N60">
        <f t="shared" si="7"/>
        <v>1</v>
      </c>
      <c r="O60">
        <f t="shared" si="8"/>
        <v>1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0</v>
      </c>
      <c r="E62">
        <f t="shared" si="3"/>
        <v>0</v>
      </c>
      <c r="G62">
        <f t="shared" si="4"/>
        <v>1</v>
      </c>
      <c r="I62">
        <f t="shared" si="5"/>
        <v>2</v>
      </c>
      <c r="K62">
        <f t="shared" si="6"/>
        <v>4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6</v>
      </c>
      <c r="C63">
        <f t="shared" si="2"/>
        <v>0</v>
      </c>
      <c r="E63">
        <f t="shared" si="3"/>
        <v>1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>
        <f t="shared" si="9"/>
        <v>1</v>
      </c>
      <c r="Q63">
        <f t="shared" si="10"/>
        <v>0</v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5</v>
      </c>
      <c r="C64">
        <f t="shared" si="2"/>
        <v>1</v>
      </c>
      <c r="E64">
        <f t="shared" si="3"/>
        <v>3</v>
      </c>
      <c r="G64">
        <f t="shared" si="4"/>
        <v>0</v>
      </c>
      <c r="I64">
        <f t="shared" si="5"/>
        <v>0</v>
      </c>
      <c r="K64">
        <f t="shared" si="6"/>
        <v>9</v>
      </c>
      <c r="N64">
        <f t="shared" si="7"/>
        <v>1</v>
      </c>
      <c r="O64">
        <f t="shared" si="8"/>
        <v>1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3</v>
      </c>
      <c r="C65">
        <f t="shared" si="2"/>
        <v>1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3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5</v>
      </c>
      <c r="O66">
        <f>SUM(O54:O65)</f>
        <v>2</v>
      </c>
      <c r="P66">
        <f>SUM(P54:P65)</f>
        <v>1</v>
      </c>
      <c r="Q66">
        <f>SUM(Q54:Q65)</f>
        <v>0</v>
      </c>
      <c r="S66">
        <f>SUM(S54:S65)</f>
        <v>1</v>
      </c>
      <c r="T66">
        <f>SUM(T54:T65)</f>
        <v>0</v>
      </c>
      <c r="U66">
        <f>SUM(U54:U65)</f>
        <v>3</v>
      </c>
      <c r="V66">
        <f>SUM(V54:V65)</f>
        <v>2</v>
      </c>
      <c r="Y66">
        <f>SUM(Y54:Y65)</f>
        <v>1</v>
      </c>
      <c r="AA66">
        <f>SUM(AA54:AA65)</f>
        <v>1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4.666666666666667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2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>
        <f t="shared" si="22"/>
        <v>5</v>
      </c>
      <c r="K70">
        <f t="shared" si="23"/>
        <v>5</v>
      </c>
    </row>
    <row r="71" spans="1:31" x14ac:dyDescent="0.2">
      <c r="A71">
        <f t="shared" si="19"/>
        <v>0</v>
      </c>
      <c r="C71">
        <f t="shared" si="20"/>
        <v>0</v>
      </c>
      <c r="E71">
        <f t="shared" si="21"/>
        <v>2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0</v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2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6</v>
      </c>
      <c r="I74">
        <f t="shared" si="22"/>
        <v>0</v>
      </c>
      <c r="K74">
        <f t="shared" si="23"/>
        <v>0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4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7</v>
      </c>
      <c r="I77">
        <f t="shared" si="22"/>
        <v>1</v>
      </c>
      <c r="K77">
        <f t="shared" si="23"/>
        <v>1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10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4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6</v>
      </c>
      <c r="K80">
        <f>SUM(K68:K79)</f>
        <v>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 enableFormatConditionsCalculation="0"/>
  <dimension ref="A1:BN94"/>
  <sheetViews>
    <sheetView workbookViewId="0">
      <selection activeCell="B10" sqref="B10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G4" t="s">
        <v>188</v>
      </c>
      <c r="H4">
        <v>1</v>
      </c>
      <c r="I4">
        <v>1</v>
      </c>
      <c r="K4">
        <v>7</v>
      </c>
      <c r="O4">
        <v>3</v>
      </c>
      <c r="P4">
        <v>2</v>
      </c>
      <c r="Q4">
        <v>4</v>
      </c>
      <c r="R4">
        <v>4</v>
      </c>
      <c r="U4">
        <v>1</v>
      </c>
      <c r="V4">
        <v>1</v>
      </c>
      <c r="W4" t="s">
        <v>189</v>
      </c>
    </row>
    <row r="5" spans="1:66" x14ac:dyDescent="0.2">
      <c r="A5">
        <v>2</v>
      </c>
      <c r="B5">
        <v>18</v>
      </c>
      <c r="C5">
        <v>1</v>
      </c>
      <c r="G5" t="s">
        <v>185</v>
      </c>
      <c r="H5">
        <v>1</v>
      </c>
      <c r="I5">
        <v>1</v>
      </c>
      <c r="J5">
        <v>1</v>
      </c>
      <c r="K5">
        <v>7</v>
      </c>
      <c r="O5">
        <v>6</v>
      </c>
      <c r="P5">
        <v>6</v>
      </c>
      <c r="Q5">
        <v>1</v>
      </c>
      <c r="R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29</v>
      </c>
      <c r="G6" t="s">
        <v>188</v>
      </c>
      <c r="H6">
        <v>1</v>
      </c>
      <c r="I6">
        <v>1</v>
      </c>
      <c r="K6">
        <v>8</v>
      </c>
      <c r="L6">
        <v>5</v>
      </c>
      <c r="M6">
        <v>5</v>
      </c>
      <c r="O6">
        <v>3</v>
      </c>
      <c r="P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37</v>
      </c>
      <c r="C7">
        <v>1</v>
      </c>
      <c r="D7" t="s">
        <v>185</v>
      </c>
      <c r="E7">
        <v>1</v>
      </c>
      <c r="J7">
        <v>4</v>
      </c>
      <c r="K7">
        <v>5</v>
      </c>
      <c r="N7">
        <v>2</v>
      </c>
      <c r="O7">
        <v>6</v>
      </c>
      <c r="P7">
        <v>6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50</v>
      </c>
      <c r="C8">
        <v>1</v>
      </c>
      <c r="G8" t="s">
        <v>188</v>
      </c>
      <c r="H8">
        <v>1</v>
      </c>
      <c r="I8">
        <v>1</v>
      </c>
      <c r="J8">
        <v>2</v>
      </c>
      <c r="K8">
        <v>5</v>
      </c>
      <c r="O8">
        <v>8</v>
      </c>
      <c r="P8">
        <v>7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59</v>
      </c>
      <c r="G9" t="s">
        <v>188</v>
      </c>
      <c r="H9">
        <v>1</v>
      </c>
      <c r="I9">
        <v>1</v>
      </c>
      <c r="J9">
        <v>2</v>
      </c>
      <c r="K9">
        <v>3</v>
      </c>
      <c r="O9">
        <v>5</v>
      </c>
      <c r="P9">
        <v>4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65</v>
      </c>
      <c r="K10">
        <v>8</v>
      </c>
      <c r="N10">
        <v>1</v>
      </c>
      <c r="O10">
        <v>4</v>
      </c>
      <c r="P10">
        <v>3</v>
      </c>
      <c r="Q10">
        <v>3</v>
      </c>
      <c r="R10">
        <v>3</v>
      </c>
      <c r="S10">
        <v>1</v>
      </c>
      <c r="T10">
        <v>1</v>
      </c>
      <c r="U10">
        <v>1</v>
      </c>
      <c r="W10" t="s">
        <v>186</v>
      </c>
      <c r="X10">
        <v>1</v>
      </c>
    </row>
    <row r="11" spans="1:66" x14ac:dyDescent="0.2">
      <c r="A11">
        <v>8</v>
      </c>
      <c r="B11">
        <v>75</v>
      </c>
      <c r="G11" t="s">
        <v>188</v>
      </c>
      <c r="H11">
        <v>1</v>
      </c>
      <c r="I11">
        <v>1</v>
      </c>
      <c r="J11">
        <v>1</v>
      </c>
      <c r="K11">
        <v>7</v>
      </c>
      <c r="N11">
        <v>1</v>
      </c>
      <c r="O11">
        <v>7</v>
      </c>
      <c r="P11">
        <v>7</v>
      </c>
      <c r="X11">
        <v>1</v>
      </c>
    </row>
    <row r="12" spans="1:66" x14ac:dyDescent="0.2">
      <c r="A12">
        <v>9</v>
      </c>
      <c r="B12">
        <v>90</v>
      </c>
      <c r="G12" t="s">
        <v>188</v>
      </c>
      <c r="H12">
        <v>1</v>
      </c>
      <c r="I12">
        <v>1</v>
      </c>
      <c r="K12">
        <v>6</v>
      </c>
      <c r="O12">
        <v>6</v>
      </c>
      <c r="P12">
        <v>6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98</v>
      </c>
      <c r="C13">
        <v>1</v>
      </c>
      <c r="J13">
        <v>1</v>
      </c>
      <c r="K13">
        <v>6</v>
      </c>
      <c r="N13">
        <v>2</v>
      </c>
      <c r="O13">
        <v>5</v>
      </c>
      <c r="P13">
        <v>4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105</v>
      </c>
      <c r="G14" t="s">
        <v>185</v>
      </c>
      <c r="H14">
        <v>1</v>
      </c>
      <c r="I14">
        <v>1</v>
      </c>
      <c r="J14">
        <v>4</v>
      </c>
      <c r="K14">
        <v>3</v>
      </c>
      <c r="N14">
        <v>3</v>
      </c>
      <c r="O14">
        <v>2</v>
      </c>
      <c r="P14">
        <v>2</v>
      </c>
      <c r="Q14">
        <v>1</v>
      </c>
      <c r="R14">
        <v>1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115</v>
      </c>
      <c r="G15" t="s">
        <v>188</v>
      </c>
      <c r="H15">
        <v>1</v>
      </c>
      <c r="I15">
        <v>1</v>
      </c>
      <c r="J15">
        <v>2</v>
      </c>
      <c r="K15">
        <v>6</v>
      </c>
      <c r="O15">
        <v>8</v>
      </c>
      <c r="P15">
        <v>8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1</v>
      </c>
      <c r="F16">
        <f>SUM(F4:F15)</f>
        <v>0</v>
      </c>
      <c r="H16">
        <f t="shared" ref="H16:P16" si="0">SUM(H4:H15)</f>
        <v>9</v>
      </c>
      <c r="I16">
        <f t="shared" si="0"/>
        <v>9</v>
      </c>
      <c r="J16">
        <f t="shared" si="0"/>
        <v>17</v>
      </c>
      <c r="K16">
        <f t="shared" si="0"/>
        <v>71</v>
      </c>
      <c r="L16">
        <f t="shared" si="0"/>
        <v>5</v>
      </c>
      <c r="M16">
        <f t="shared" si="0"/>
        <v>5</v>
      </c>
      <c r="N16">
        <f t="shared" si="0"/>
        <v>9</v>
      </c>
      <c r="O16">
        <f t="shared" si="0"/>
        <v>63</v>
      </c>
      <c r="P16">
        <f t="shared" si="0"/>
        <v>58</v>
      </c>
      <c r="Q16">
        <f>SUM(Q4:Q15)</f>
        <v>9</v>
      </c>
      <c r="R16">
        <f>SUM(R4:R15)</f>
        <v>9</v>
      </c>
      <c r="S16">
        <f>SUM(S4:S15)</f>
        <v>3</v>
      </c>
      <c r="T16">
        <v>0</v>
      </c>
      <c r="U16">
        <f>SUM(U4:U15)</f>
        <v>9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0.92063492063492058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</v>
      </c>
      <c r="F22">
        <f>T66/S66</f>
        <v>1</v>
      </c>
      <c r="I22" t="s">
        <v>23</v>
      </c>
      <c r="N22">
        <f>AVERAGE(I54:I65)</f>
        <v>1.4166666666666667</v>
      </c>
      <c r="O22">
        <f>MEDIAN(I54:I65)</f>
        <v>1</v>
      </c>
      <c r="P22">
        <f>MAX(I54:I65)</f>
        <v>4</v>
      </c>
      <c r="Q22">
        <f>_xlfn.STDEV.S(I54:I65)</f>
        <v>1.4433756729740645</v>
      </c>
      <c r="S22">
        <f>V16/U16</f>
        <v>0.88888888888888884</v>
      </c>
      <c r="U22">
        <f>AA66/Y66</f>
        <v>0.875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4.833333333333333</v>
      </c>
      <c r="J24">
        <f>MAX(A54:A65)</f>
        <v>8</v>
      </c>
      <c r="K24">
        <f>_xlfn.STDEV.S(A54:A65)</f>
        <v>2.0816659994661331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5.916666666666667</v>
      </c>
      <c r="O25">
        <f>MEDIAN(K54:K65)</f>
        <v>6</v>
      </c>
      <c r="P25">
        <f>MAX(K54:K65)</f>
        <v>8</v>
      </c>
      <c r="Q25">
        <f>_xlfn.STDEV.S(K54:K65)</f>
        <v>1.6764862244009231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0.75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0.19318181818181818</v>
      </c>
    </row>
    <row r="29" spans="1:66" x14ac:dyDescent="0.2">
      <c r="D29">
        <f>_xlfn.STDEV.S(A68:A79)</f>
        <v>0</v>
      </c>
      <c r="I29">
        <f>AVERAGE(C54:C65)</f>
        <v>0.75</v>
      </c>
      <c r="J29">
        <f>MAX(C54:C65)</f>
        <v>4</v>
      </c>
      <c r="K29">
        <f>_xlfn.STDEV.S(C54:C65)</f>
        <v>1.3568010505999362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0.80681818181818177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0.41666666666666669</v>
      </c>
      <c r="J34">
        <f>MAX(E54:E65)</f>
        <v>5</v>
      </c>
      <c r="K34">
        <f>_xlfn.STDEV.S(E54:E65)</f>
        <v>1.4433756729740645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0.75</v>
      </c>
      <c r="J37">
        <f>MAX(G54:G65)</f>
        <v>3</v>
      </c>
      <c r="K37">
        <f>_xlfn.STDEV.S(G54:G65)</f>
        <v>1.0552897060221726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2</v>
      </c>
      <c r="C54">
        <f t="shared" ref="C54:C65" si="2">IF(ISBLANK(B4),"",R4)</f>
        <v>4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>
        <f t="shared" ref="AC54:AC65" si="17">IF(ISBLANK(B4),"",IF(W4="o",U4,""))</f>
        <v>1</v>
      </c>
      <c r="AE54">
        <f t="shared" ref="AE54:AE65" si="18">IF(ISBLANK(B4),"",IF(W4="o",V4,""))</f>
        <v>1</v>
      </c>
    </row>
    <row r="55" spans="1:44" x14ac:dyDescent="0.2">
      <c r="A55">
        <f t="shared" si="1"/>
        <v>6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1</v>
      </c>
      <c r="K55">
        <f t="shared" si="6"/>
        <v>7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>
        <f t="shared" si="11"/>
        <v>1</v>
      </c>
      <c r="T55">
        <f t="shared" si="12"/>
        <v>1</v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5</v>
      </c>
      <c r="G56">
        <f t="shared" si="4"/>
        <v>0</v>
      </c>
      <c r="I56">
        <f t="shared" si="5"/>
        <v>0</v>
      </c>
      <c r="K56">
        <f t="shared" si="6"/>
        <v>8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6</v>
      </c>
      <c r="C57">
        <f t="shared" si="2"/>
        <v>0</v>
      </c>
      <c r="E57">
        <f t="shared" si="3"/>
        <v>0</v>
      </c>
      <c r="G57">
        <f t="shared" si="4"/>
        <v>2</v>
      </c>
      <c r="I57">
        <f t="shared" si="5"/>
        <v>4</v>
      </c>
      <c r="K57">
        <f t="shared" si="6"/>
        <v>5</v>
      </c>
      <c r="N57">
        <f t="shared" si="7"/>
        <v>1</v>
      </c>
      <c r="O57">
        <f t="shared" si="8"/>
        <v>0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7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2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2</v>
      </c>
      <c r="K59">
        <f t="shared" si="6"/>
        <v>3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3</v>
      </c>
      <c r="E60">
        <f t="shared" si="3"/>
        <v>0</v>
      </c>
      <c r="G60">
        <f t="shared" si="4"/>
        <v>1</v>
      </c>
      <c r="I60">
        <f t="shared" si="5"/>
        <v>0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7</v>
      </c>
      <c r="C61">
        <f t="shared" si="2"/>
        <v>0</v>
      </c>
      <c r="E61">
        <f t="shared" si="3"/>
        <v>0</v>
      </c>
      <c r="G61">
        <f t="shared" si="4"/>
        <v>1</v>
      </c>
      <c r="I61">
        <f t="shared" si="5"/>
        <v>1</v>
      </c>
      <c r="K61">
        <f t="shared" si="6"/>
        <v>7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6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6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2</v>
      </c>
      <c r="I63">
        <f t="shared" si="5"/>
        <v>1</v>
      </c>
      <c r="K63">
        <f t="shared" si="6"/>
        <v>6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2</v>
      </c>
      <c r="C64">
        <f t="shared" si="2"/>
        <v>1</v>
      </c>
      <c r="E64">
        <f t="shared" si="3"/>
        <v>0</v>
      </c>
      <c r="G64">
        <f t="shared" si="4"/>
        <v>3</v>
      </c>
      <c r="I64">
        <f t="shared" si="5"/>
        <v>4</v>
      </c>
      <c r="K64">
        <f t="shared" si="6"/>
        <v>3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8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2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2</v>
      </c>
      <c r="U66">
        <f>SUM(U54:U65)</f>
        <v>7</v>
      </c>
      <c r="V66">
        <f>SUM(V54:V65)</f>
        <v>7</v>
      </c>
      <c r="Y66">
        <f>SUM(Y54:Y65)</f>
        <v>8</v>
      </c>
      <c r="AA66">
        <f>SUM(AA54:AA65)</f>
        <v>7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7</v>
      </c>
      <c r="G68">
        <f>AVERAGE(E68:E79)</f>
        <v>6.75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8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9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6</v>
      </c>
      <c r="I71">
        <f t="shared" si="22"/>
        <v>0</v>
      </c>
      <c r="K71">
        <f t="shared" si="23"/>
        <v>0</v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8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6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8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1</v>
      </c>
      <c r="E76">
        <f t="shared" si="21"/>
        <v>7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4</v>
      </c>
      <c r="I77">
        <f t="shared" si="22"/>
        <v>0</v>
      </c>
      <c r="K77">
        <f t="shared" si="23"/>
        <v>0</v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4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9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G4" t="s">
        <v>188</v>
      </c>
      <c r="H4">
        <v>1</v>
      </c>
      <c r="I4">
        <v>1</v>
      </c>
      <c r="K4">
        <v>10</v>
      </c>
      <c r="L4">
        <v>4</v>
      </c>
      <c r="M4">
        <v>3</v>
      </c>
      <c r="O4">
        <v>1</v>
      </c>
      <c r="P4">
        <v>1</v>
      </c>
      <c r="Q4">
        <v>5</v>
      </c>
      <c r="R4">
        <v>5</v>
      </c>
      <c r="X4">
        <v>1</v>
      </c>
    </row>
    <row r="5" spans="1:66" x14ac:dyDescent="0.2">
      <c r="A5">
        <v>2</v>
      </c>
      <c r="B5">
        <v>18</v>
      </c>
      <c r="D5" t="s">
        <v>185</v>
      </c>
      <c r="E5">
        <v>1</v>
      </c>
      <c r="K5">
        <v>5</v>
      </c>
      <c r="O5">
        <v>5</v>
      </c>
      <c r="P5">
        <v>4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30</v>
      </c>
      <c r="C6">
        <v>1</v>
      </c>
      <c r="G6" t="s">
        <v>188</v>
      </c>
      <c r="H6">
        <v>1</v>
      </c>
      <c r="I6">
        <v>1</v>
      </c>
      <c r="K6">
        <v>4</v>
      </c>
      <c r="O6">
        <v>5</v>
      </c>
      <c r="P6">
        <v>4</v>
      </c>
      <c r="S6">
        <v>1</v>
      </c>
      <c r="T6">
        <v>1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38</v>
      </c>
      <c r="D7" t="s">
        <v>188</v>
      </c>
      <c r="E7">
        <v>1</v>
      </c>
      <c r="K7">
        <v>3</v>
      </c>
      <c r="O7">
        <v>2</v>
      </c>
      <c r="P7">
        <v>2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48</v>
      </c>
      <c r="G8" t="s">
        <v>188</v>
      </c>
      <c r="H8">
        <v>1</v>
      </c>
      <c r="I8">
        <v>1</v>
      </c>
      <c r="K8">
        <v>9</v>
      </c>
      <c r="L8">
        <v>9</v>
      </c>
      <c r="M8">
        <v>9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54</v>
      </c>
      <c r="G9" t="s">
        <v>188</v>
      </c>
      <c r="H9">
        <v>1</v>
      </c>
      <c r="I9">
        <v>1</v>
      </c>
      <c r="K9">
        <v>5</v>
      </c>
      <c r="O9">
        <v>3</v>
      </c>
      <c r="P9">
        <v>2</v>
      </c>
      <c r="Q9">
        <v>2</v>
      </c>
      <c r="R9">
        <v>2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62</v>
      </c>
      <c r="G10" t="s">
        <v>188</v>
      </c>
      <c r="H10">
        <v>1</v>
      </c>
      <c r="I10">
        <v>1</v>
      </c>
      <c r="J10">
        <v>1</v>
      </c>
      <c r="K10">
        <v>6</v>
      </c>
      <c r="L10">
        <v>4</v>
      </c>
      <c r="M10">
        <v>4</v>
      </c>
      <c r="N10">
        <v>3</v>
      </c>
      <c r="S10">
        <v>1</v>
      </c>
      <c r="X10">
        <v>1</v>
      </c>
    </row>
    <row r="11" spans="1:66" x14ac:dyDescent="0.2">
      <c r="A11">
        <v>8</v>
      </c>
      <c r="B11">
        <v>73</v>
      </c>
      <c r="C11">
        <v>1</v>
      </c>
      <c r="D11" t="s">
        <v>188</v>
      </c>
      <c r="E11">
        <v>1</v>
      </c>
      <c r="J11">
        <v>1</v>
      </c>
      <c r="K11">
        <v>6</v>
      </c>
      <c r="N11">
        <v>2</v>
      </c>
      <c r="O11">
        <v>5</v>
      </c>
      <c r="P11">
        <v>4</v>
      </c>
      <c r="X11">
        <v>1</v>
      </c>
    </row>
    <row r="12" spans="1:66" x14ac:dyDescent="0.2">
      <c r="A12">
        <v>9</v>
      </c>
      <c r="B12">
        <v>82</v>
      </c>
      <c r="G12" t="s">
        <v>188</v>
      </c>
      <c r="H12">
        <v>1</v>
      </c>
      <c r="I12">
        <v>1</v>
      </c>
      <c r="K12">
        <v>12</v>
      </c>
      <c r="L12">
        <v>9</v>
      </c>
      <c r="M12">
        <v>9</v>
      </c>
      <c r="N12">
        <v>2</v>
      </c>
      <c r="Q12">
        <v>1</v>
      </c>
      <c r="R12">
        <v>1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96</v>
      </c>
      <c r="C13">
        <v>1</v>
      </c>
      <c r="D13" t="s">
        <v>185</v>
      </c>
      <c r="E13">
        <v>2</v>
      </c>
      <c r="F13">
        <v>1</v>
      </c>
      <c r="J13">
        <v>3</v>
      </c>
      <c r="K13">
        <v>2</v>
      </c>
      <c r="O13">
        <v>4</v>
      </c>
      <c r="P13">
        <v>3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102</v>
      </c>
      <c r="D14" t="s">
        <v>185</v>
      </c>
      <c r="E14">
        <v>1</v>
      </c>
      <c r="F14">
        <v>1</v>
      </c>
      <c r="J14">
        <v>2</v>
      </c>
      <c r="K14">
        <v>3</v>
      </c>
      <c r="N14">
        <v>3</v>
      </c>
      <c r="O14">
        <v>1</v>
      </c>
      <c r="P14">
        <v>1</v>
      </c>
      <c r="X14">
        <v>1</v>
      </c>
    </row>
    <row r="15" spans="1:66" x14ac:dyDescent="0.2">
      <c r="A15">
        <v>12</v>
      </c>
      <c r="B15">
        <v>114</v>
      </c>
      <c r="C15">
        <v>1</v>
      </c>
      <c r="G15" t="s">
        <v>188</v>
      </c>
      <c r="H15">
        <v>1</v>
      </c>
      <c r="I15">
        <v>1</v>
      </c>
      <c r="K15">
        <v>4</v>
      </c>
      <c r="N15">
        <v>2</v>
      </c>
      <c r="O15">
        <v>2</v>
      </c>
      <c r="P15">
        <v>1</v>
      </c>
      <c r="S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6</v>
      </c>
      <c r="F16">
        <f>SUM(F4:F15)</f>
        <v>2</v>
      </c>
      <c r="H16">
        <f t="shared" ref="H16:P16" si="0">SUM(H4:H15)</f>
        <v>7</v>
      </c>
      <c r="I16">
        <f t="shared" si="0"/>
        <v>7</v>
      </c>
      <c r="J16">
        <f t="shared" si="0"/>
        <v>7</v>
      </c>
      <c r="K16">
        <f t="shared" si="0"/>
        <v>69</v>
      </c>
      <c r="L16">
        <f t="shared" si="0"/>
        <v>26</v>
      </c>
      <c r="M16">
        <f t="shared" si="0"/>
        <v>25</v>
      </c>
      <c r="N16">
        <f t="shared" si="0"/>
        <v>12</v>
      </c>
      <c r="O16">
        <f t="shared" si="0"/>
        <v>28</v>
      </c>
      <c r="P16">
        <f t="shared" si="0"/>
        <v>22</v>
      </c>
      <c r="Q16">
        <f>SUM(Q4:Q15)</f>
        <v>8</v>
      </c>
      <c r="R16">
        <f>SUM(R4:R15)</f>
        <v>8</v>
      </c>
      <c r="S16">
        <f>SUM(S4:S15)</f>
        <v>7</v>
      </c>
      <c r="T16">
        <v>0</v>
      </c>
      <c r="U16">
        <f>SUM(U4:U15)</f>
        <v>3</v>
      </c>
      <c r="V16">
        <f>SUM(V4:V15)</f>
        <v>2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0.4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0.7857142857142857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0.5</v>
      </c>
      <c r="F22" t="e">
        <f>T66/S66</f>
        <v>#DIV/0!</v>
      </c>
      <c r="I22" t="s">
        <v>23</v>
      </c>
      <c r="N22">
        <f>AVERAGE(I54:I65)</f>
        <v>0.58333333333333337</v>
      </c>
      <c r="O22">
        <f>MEDIAN(I54:I65)</f>
        <v>0</v>
      </c>
      <c r="P22">
        <f>MAX(I54:I65)</f>
        <v>3</v>
      </c>
      <c r="Q22">
        <f>_xlfn.STDEV.S(I54:I65)</f>
        <v>0.99620491989562199</v>
      </c>
      <c r="S22">
        <f>V16/U16</f>
        <v>0.66666666666666663</v>
      </c>
      <c r="U22">
        <f>AA66/Y66</f>
        <v>0.66666666666666663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1</v>
      </c>
      <c r="I24">
        <f>AVERAGE(A54:A65)</f>
        <v>1.8333333333333333</v>
      </c>
      <c r="J24">
        <f>MAX(A54:A65)</f>
        <v>4</v>
      </c>
      <c r="K24">
        <f>_xlfn.STDEV.S(A54:A65)</f>
        <v>1.5859229221975182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0.16666666666666666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5.75</v>
      </c>
      <c r="O25">
        <f>MEDIAN(K54:K65)</f>
        <v>5</v>
      </c>
      <c r="P25">
        <f>MAX(K54:K65)</f>
        <v>12</v>
      </c>
      <c r="Q25">
        <f>_xlfn.STDEV.S(K54:K65)</f>
        <v>3.0785179433085537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0.58333333333333337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9.2105263157894732E-2</v>
      </c>
    </row>
    <row r="29" spans="1:66" x14ac:dyDescent="0.2">
      <c r="D29">
        <f>_xlfn.STDEV.S(A68:A79)</f>
        <v>0</v>
      </c>
      <c r="I29">
        <f>AVERAGE(C54:C65)</f>
        <v>0.66666666666666663</v>
      </c>
      <c r="J29">
        <f>MAX(C54:C65)</f>
        <v>5</v>
      </c>
      <c r="K29">
        <f>_xlfn.STDEV.S(C54:C65)</f>
        <v>1.4974726182552529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0.90789473684210531</v>
      </c>
      <c r="S30">
        <f>_xlfn.STDEV.S(C68:C79)</f>
        <v>0.38924947208076149</v>
      </c>
    </row>
    <row r="31" spans="1:66" x14ac:dyDescent="0.2">
      <c r="D31" t="s">
        <v>179</v>
      </c>
      <c r="F31" t="s">
        <v>180</v>
      </c>
      <c r="I31">
        <f>M16/L16</f>
        <v>0.96153846153846156</v>
      </c>
      <c r="L31" t="e">
        <f>K80/I80</f>
        <v>#DIV/0!</v>
      </c>
    </row>
    <row r="32" spans="1:66" x14ac:dyDescent="0.2">
      <c r="D32">
        <f>D94/B94</f>
        <v>0.5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2.0833333333333335</v>
      </c>
      <c r="J34">
        <f>MAX(E54:E65)</f>
        <v>9</v>
      </c>
      <c r="K34">
        <f>_xlfn.STDEV.S(E54:E65)</f>
        <v>3.5021638332824341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</v>
      </c>
      <c r="J37">
        <f>MAX(G54:G65)</f>
        <v>3</v>
      </c>
      <c r="K37">
        <f>_xlfn.STDEV.S(G54:G65)</f>
        <v>1.2792042981336627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5</v>
      </c>
      <c r="E54">
        <f t="shared" ref="E54:E65" si="3">IF(ISBLANK(B4),"",M4)</f>
        <v>3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>
        <f t="shared" si="7"/>
        <v>1</v>
      </c>
      <c r="O55">
        <f t="shared" si="8"/>
        <v>0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3</v>
      </c>
      <c r="N57" t="str">
        <f t="shared" si="7"/>
        <v/>
      </c>
      <c r="O57" t="str">
        <f t="shared" si="8"/>
        <v/>
      </c>
      <c r="P57">
        <f t="shared" si="9"/>
        <v>1</v>
      </c>
      <c r="Q57">
        <f t="shared" si="10"/>
        <v>0</v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9</v>
      </c>
      <c r="G58">
        <f t="shared" si="4"/>
        <v>0</v>
      </c>
      <c r="I58">
        <f t="shared" si="5"/>
        <v>0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2</v>
      </c>
      <c r="C59">
        <f t="shared" si="2"/>
        <v>2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4</v>
      </c>
      <c r="G60">
        <f t="shared" si="4"/>
        <v>3</v>
      </c>
      <c r="I60">
        <f t="shared" si="5"/>
        <v>1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4</v>
      </c>
      <c r="C61">
        <f t="shared" si="2"/>
        <v>0</v>
      </c>
      <c r="E61">
        <f t="shared" si="3"/>
        <v>0</v>
      </c>
      <c r="G61">
        <f t="shared" si="4"/>
        <v>2</v>
      </c>
      <c r="I61">
        <f t="shared" si="5"/>
        <v>1</v>
      </c>
      <c r="K61">
        <f t="shared" si="6"/>
        <v>6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0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9</v>
      </c>
      <c r="G62">
        <f t="shared" si="4"/>
        <v>2</v>
      </c>
      <c r="I62">
        <f t="shared" si="5"/>
        <v>0</v>
      </c>
      <c r="K62">
        <f t="shared" si="6"/>
        <v>12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3</v>
      </c>
      <c r="K63">
        <f t="shared" si="6"/>
        <v>2</v>
      </c>
      <c r="N63">
        <f t="shared" si="7"/>
        <v>2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0</v>
      </c>
      <c r="G64">
        <f t="shared" si="4"/>
        <v>3</v>
      </c>
      <c r="I64">
        <f t="shared" si="5"/>
        <v>2</v>
      </c>
      <c r="K64">
        <f t="shared" si="6"/>
        <v>3</v>
      </c>
      <c r="N64">
        <f t="shared" si="7"/>
        <v>1</v>
      </c>
      <c r="O64">
        <f t="shared" si="8"/>
        <v>1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1</v>
      </c>
      <c r="C65">
        <f t="shared" si="2"/>
        <v>0</v>
      </c>
      <c r="E65">
        <f t="shared" si="3"/>
        <v>0</v>
      </c>
      <c r="G65">
        <f t="shared" si="4"/>
        <v>2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4</v>
      </c>
      <c r="O66">
        <f>SUM(O54:O65)</f>
        <v>2</v>
      </c>
      <c r="P66">
        <f>SUM(P54:P65)</f>
        <v>2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7</v>
      </c>
      <c r="V66">
        <f>SUM(V54:V65)</f>
        <v>7</v>
      </c>
      <c r="Y66">
        <f>SUM(Y54:Y65)</f>
        <v>3</v>
      </c>
      <c r="AA66">
        <f>SUM(AA54:AA65)</f>
        <v>2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10</v>
      </c>
      <c r="G68">
        <f>AVERAGE(E68:E79)</f>
        <v>5.333333333333333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5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2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10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4</v>
      </c>
      <c r="I75">
        <f t="shared" si="22"/>
        <v>0</v>
      </c>
      <c r="K75">
        <f t="shared" si="23"/>
        <v>0</v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11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4</v>
      </c>
      <c r="I77">
        <f t="shared" si="22"/>
        <v>0</v>
      </c>
      <c r="K77">
        <f t="shared" si="23"/>
        <v>0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2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2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>
        <f t="shared" si="24"/>
        <v>2</v>
      </c>
      <c r="D91">
        <f t="shared" si="25"/>
        <v>1</v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2</v>
      </c>
      <c r="D94">
        <f>SUM(D82:D93)</f>
        <v>1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6</v>
      </c>
      <c r="K4">
        <v>3</v>
      </c>
      <c r="O4">
        <v>3</v>
      </c>
      <c r="P4">
        <v>3</v>
      </c>
      <c r="Q4">
        <v>1</v>
      </c>
      <c r="R4">
        <v>1</v>
      </c>
      <c r="S4">
        <v>1</v>
      </c>
      <c r="T4">
        <v>1</v>
      </c>
    </row>
    <row r="5" spans="1:66" x14ac:dyDescent="0.2">
      <c r="A5">
        <v>2</v>
      </c>
      <c r="B5">
        <v>15</v>
      </c>
      <c r="D5" t="s">
        <v>185</v>
      </c>
      <c r="E5">
        <v>1</v>
      </c>
      <c r="F5">
        <v>1</v>
      </c>
      <c r="K5">
        <v>4</v>
      </c>
      <c r="L5">
        <v>1</v>
      </c>
      <c r="M5">
        <v>1</v>
      </c>
      <c r="O5">
        <v>3</v>
      </c>
      <c r="P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22</v>
      </c>
      <c r="K6">
        <v>4</v>
      </c>
      <c r="O6">
        <v>4</v>
      </c>
      <c r="P6">
        <v>4</v>
      </c>
      <c r="Q6">
        <v>1</v>
      </c>
      <c r="R6">
        <v>1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38</v>
      </c>
      <c r="K7">
        <v>5</v>
      </c>
      <c r="O7">
        <v>5</v>
      </c>
      <c r="P7">
        <v>2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48</v>
      </c>
      <c r="D8" t="s">
        <v>185</v>
      </c>
      <c r="E8">
        <v>1</v>
      </c>
      <c r="J8">
        <v>2</v>
      </c>
      <c r="K8">
        <v>4</v>
      </c>
      <c r="O8">
        <v>6</v>
      </c>
      <c r="P8">
        <v>6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55</v>
      </c>
      <c r="C9">
        <v>1</v>
      </c>
      <c r="G9" t="s">
        <v>185</v>
      </c>
      <c r="H9">
        <v>1</v>
      </c>
      <c r="I9">
        <v>1</v>
      </c>
      <c r="K9">
        <v>5</v>
      </c>
      <c r="O9">
        <v>5</v>
      </c>
      <c r="P9">
        <v>4</v>
      </c>
      <c r="U9">
        <v>1</v>
      </c>
      <c r="V9">
        <v>1</v>
      </c>
      <c r="W9" t="s">
        <v>189</v>
      </c>
    </row>
    <row r="10" spans="1:66" x14ac:dyDescent="0.2">
      <c r="A10">
        <v>7</v>
      </c>
      <c r="B10">
        <v>63</v>
      </c>
      <c r="C10">
        <v>1</v>
      </c>
      <c r="D10" t="s">
        <v>185</v>
      </c>
      <c r="E10">
        <v>1</v>
      </c>
      <c r="F10">
        <v>1</v>
      </c>
      <c r="K10">
        <v>5</v>
      </c>
      <c r="O10">
        <v>3</v>
      </c>
      <c r="P10">
        <v>3</v>
      </c>
      <c r="Q10">
        <v>2</v>
      </c>
      <c r="R10">
        <v>2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78</v>
      </c>
      <c r="C11">
        <v>1</v>
      </c>
      <c r="D11" t="s">
        <v>185</v>
      </c>
      <c r="E11">
        <v>1</v>
      </c>
      <c r="F11">
        <v>1</v>
      </c>
      <c r="K11">
        <v>6</v>
      </c>
      <c r="N11">
        <v>2</v>
      </c>
      <c r="O11">
        <v>3</v>
      </c>
      <c r="P11">
        <v>3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90</v>
      </c>
      <c r="J12">
        <v>1</v>
      </c>
      <c r="K12">
        <v>6</v>
      </c>
      <c r="O12">
        <v>6</v>
      </c>
      <c r="P12">
        <v>5</v>
      </c>
    </row>
    <row r="13" spans="1:66" x14ac:dyDescent="0.2">
      <c r="A13">
        <v>10</v>
      </c>
      <c r="B13">
        <v>97</v>
      </c>
      <c r="D13" t="s">
        <v>185</v>
      </c>
      <c r="E13">
        <v>1</v>
      </c>
      <c r="F13">
        <v>1</v>
      </c>
      <c r="K13">
        <v>7</v>
      </c>
      <c r="O13">
        <v>6</v>
      </c>
      <c r="P13">
        <v>5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107</v>
      </c>
      <c r="K14">
        <v>6</v>
      </c>
      <c r="L14">
        <v>2</v>
      </c>
      <c r="M14">
        <v>2</v>
      </c>
      <c r="O14">
        <v>4</v>
      </c>
      <c r="P14">
        <v>4</v>
      </c>
    </row>
    <row r="15" spans="1:66" x14ac:dyDescent="0.2">
      <c r="A15">
        <v>12</v>
      </c>
      <c r="B15">
        <v>118</v>
      </c>
      <c r="C15">
        <v>1</v>
      </c>
      <c r="J15">
        <v>1</v>
      </c>
      <c r="K15">
        <v>6</v>
      </c>
      <c r="O15">
        <v>4</v>
      </c>
      <c r="P15">
        <v>4</v>
      </c>
      <c r="Q15">
        <v>4</v>
      </c>
      <c r="R15">
        <v>2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5</v>
      </c>
      <c r="F16">
        <f>SUM(F4:F15)</f>
        <v>4</v>
      </c>
      <c r="H16">
        <f t="shared" ref="H16:P16" si="0">SUM(H4:H15)</f>
        <v>1</v>
      </c>
      <c r="I16">
        <f t="shared" si="0"/>
        <v>1</v>
      </c>
      <c r="J16">
        <f t="shared" si="0"/>
        <v>4</v>
      </c>
      <c r="K16">
        <f t="shared" si="0"/>
        <v>61</v>
      </c>
      <c r="L16">
        <f t="shared" si="0"/>
        <v>3</v>
      </c>
      <c r="M16">
        <f t="shared" si="0"/>
        <v>3</v>
      </c>
      <c r="N16">
        <f t="shared" si="0"/>
        <v>2</v>
      </c>
      <c r="O16">
        <f t="shared" si="0"/>
        <v>52</v>
      </c>
      <c r="P16">
        <f t="shared" si="0"/>
        <v>45</v>
      </c>
      <c r="Q16">
        <f>SUM(Q4:Q15)</f>
        <v>8</v>
      </c>
      <c r="R16">
        <f>SUM(R4:R15)</f>
        <v>6</v>
      </c>
      <c r="S16">
        <f>SUM(S4:S15)</f>
        <v>4</v>
      </c>
      <c r="T16">
        <v>0</v>
      </c>
      <c r="U16">
        <f>SUM(U4:U15)</f>
        <v>6</v>
      </c>
      <c r="V16">
        <f>SUM(V4:V15)</f>
        <v>6</v>
      </c>
      <c r="W16">
        <f>SUM(W4:W15)</f>
        <v>0</v>
      </c>
      <c r="X16">
        <f>SUM(X4:X15)</f>
        <v>3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0.8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0.86538461538461542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0.8</v>
      </c>
      <c r="F22">
        <f>T66/S66</f>
        <v>1</v>
      </c>
      <c r="I22" t="s">
        <v>23</v>
      </c>
      <c r="N22">
        <f>AVERAGE(I54:I65)</f>
        <v>0.33333333333333331</v>
      </c>
      <c r="O22">
        <f>MEDIAN(I54:I65)</f>
        <v>0</v>
      </c>
      <c r="P22">
        <f>MAX(I54:I65)</f>
        <v>2</v>
      </c>
      <c r="Q22">
        <f>_xlfn.STDEV.S(I54:I65)</f>
        <v>0.6513389472789296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3.75</v>
      </c>
      <c r="J24">
        <f>MAX(A54:A65)</f>
        <v>6</v>
      </c>
      <c r="K24">
        <f>_xlfn.STDEV.S(A54:A65)</f>
        <v>1.2154310870109943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5.083333333333333</v>
      </c>
      <c r="O25">
        <f>MEDIAN(K54:K65)</f>
        <v>5</v>
      </c>
      <c r="P25">
        <f>MAX(K54:K65)</f>
        <v>7</v>
      </c>
      <c r="Q25">
        <f>_xlfn.STDEV.S(K54:K65)</f>
        <v>1.1645001528813157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0.33333333333333331</v>
      </c>
      <c r="F26">
        <f>I16/A19</f>
        <v>8.3333333333333329E-2</v>
      </c>
      <c r="I26">
        <f>R16/Q16</f>
        <v>0.75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6.1538461538461542E-2</v>
      </c>
    </row>
    <row r="29" spans="1:66" x14ac:dyDescent="0.2">
      <c r="D29" t="e">
        <f>_xlfn.STDEV.S(A68:A79)</f>
        <v>#DIV/0!</v>
      </c>
      <c r="I29">
        <f>AVERAGE(C54:C65)</f>
        <v>0.5</v>
      </c>
      <c r="J29">
        <f>MAX(C54:C65)</f>
        <v>2</v>
      </c>
      <c r="K29">
        <f>_xlfn.STDEV.S(C54:C65)</f>
        <v>0.7977240352174656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0.93846153846153846</v>
      </c>
      <c r="S30">
        <f>_xlfn.STDEV.S(C68:C79)</f>
        <v>0.5222329678670935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0.25</v>
      </c>
      <c r="J34">
        <f>MAX(E54:E65)</f>
        <v>2</v>
      </c>
      <c r="K34">
        <f>_xlfn.STDEV.S(E54:E65)</f>
        <v>0.62158156050806102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0.16666666666666666</v>
      </c>
      <c r="J37">
        <f>MAX(G54:G65)</f>
        <v>2</v>
      </c>
      <c r="K37">
        <f>_xlfn.STDEV.S(G54:G65)</f>
        <v>0.57735026918962573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3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0</v>
      </c>
      <c r="E55">
        <f t="shared" si="3"/>
        <v>1</v>
      </c>
      <c r="G55">
        <f t="shared" si="4"/>
        <v>0</v>
      </c>
      <c r="I55">
        <f t="shared" si="5"/>
        <v>0</v>
      </c>
      <c r="K55">
        <f t="shared" si="6"/>
        <v>4</v>
      </c>
      <c r="N55">
        <f t="shared" si="7"/>
        <v>1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6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2</v>
      </c>
      <c r="K58">
        <f t="shared" si="6"/>
        <v>4</v>
      </c>
      <c r="N58">
        <f t="shared" si="7"/>
        <v>1</v>
      </c>
      <c r="O58">
        <f t="shared" si="8"/>
        <v>0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1</v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1</v>
      </c>
    </row>
    <row r="60" spans="1:44" x14ac:dyDescent="0.2">
      <c r="A60">
        <f t="shared" si="1"/>
        <v>3</v>
      </c>
      <c r="C60">
        <f t="shared" si="2"/>
        <v>2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5</v>
      </c>
      <c r="N60">
        <f t="shared" si="7"/>
        <v>1</v>
      </c>
      <c r="O60">
        <f t="shared" si="8"/>
        <v>1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2</v>
      </c>
      <c r="I61">
        <f t="shared" si="5"/>
        <v>0</v>
      </c>
      <c r="K61">
        <f t="shared" si="6"/>
        <v>6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5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1</v>
      </c>
      <c r="K62">
        <f t="shared" si="6"/>
        <v>6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5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7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2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2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5</v>
      </c>
      <c r="O66">
        <f>SUM(O54:O65)</f>
        <v>4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0</v>
      </c>
      <c r="V66">
        <f>SUM(V54:V65)</f>
        <v>0</v>
      </c>
      <c r="Y66">
        <f>SUM(Y54:Y65)</f>
        <v>5</v>
      </c>
      <c r="AA66">
        <f>SUM(AA54:AA65)</f>
        <v>5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4.916666666666667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2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5</v>
      </c>
      <c r="I73">
        <f t="shared" si="22"/>
        <v>0</v>
      </c>
      <c r="K73">
        <f t="shared" si="23"/>
        <v>0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6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4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5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6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6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1:BN94"/>
  <sheetViews>
    <sheetView workbookViewId="0">
      <selection activeCell="C8" sqref="C8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10</v>
      </c>
      <c r="C4">
        <v>1</v>
      </c>
      <c r="D4" t="s">
        <v>188</v>
      </c>
      <c r="E4">
        <v>1</v>
      </c>
      <c r="F4">
        <v>1</v>
      </c>
      <c r="J4">
        <v>2</v>
      </c>
      <c r="K4">
        <v>5</v>
      </c>
      <c r="N4">
        <v>4</v>
      </c>
      <c r="O4">
        <v>3</v>
      </c>
      <c r="P4">
        <v>2</v>
      </c>
      <c r="X4">
        <v>1</v>
      </c>
    </row>
    <row r="5" spans="1:66" x14ac:dyDescent="0.2">
      <c r="A5">
        <v>2</v>
      </c>
      <c r="B5">
        <v>17</v>
      </c>
      <c r="D5" t="s">
        <v>185</v>
      </c>
      <c r="E5">
        <v>1</v>
      </c>
      <c r="K5">
        <v>5</v>
      </c>
      <c r="O5">
        <v>6</v>
      </c>
      <c r="P5">
        <v>4</v>
      </c>
      <c r="S5">
        <v>1</v>
      </c>
    </row>
    <row r="6" spans="1:66" x14ac:dyDescent="0.2">
      <c r="A6">
        <v>3</v>
      </c>
      <c r="B6">
        <v>25</v>
      </c>
      <c r="G6" t="s">
        <v>188</v>
      </c>
      <c r="H6">
        <v>1</v>
      </c>
      <c r="I6">
        <v>1</v>
      </c>
      <c r="K6">
        <v>8</v>
      </c>
      <c r="L6">
        <v>8</v>
      </c>
      <c r="M6">
        <v>8</v>
      </c>
      <c r="X6">
        <v>1</v>
      </c>
    </row>
    <row r="7" spans="1:66" x14ac:dyDescent="0.2">
      <c r="A7">
        <v>4</v>
      </c>
      <c r="B7">
        <v>39</v>
      </c>
      <c r="D7" t="s">
        <v>185</v>
      </c>
      <c r="E7">
        <v>1</v>
      </c>
      <c r="F7">
        <v>1</v>
      </c>
      <c r="J7">
        <v>1</v>
      </c>
      <c r="K7">
        <v>3</v>
      </c>
      <c r="O7">
        <v>4</v>
      </c>
      <c r="P7">
        <v>4</v>
      </c>
      <c r="X7">
        <v>1</v>
      </c>
    </row>
    <row r="8" spans="1:66" x14ac:dyDescent="0.2">
      <c r="A8">
        <v>5</v>
      </c>
      <c r="B8">
        <v>47</v>
      </c>
      <c r="D8" t="s">
        <v>188</v>
      </c>
      <c r="E8">
        <v>1</v>
      </c>
      <c r="J8">
        <v>2</v>
      </c>
      <c r="K8">
        <v>7</v>
      </c>
      <c r="N8">
        <v>4</v>
      </c>
      <c r="O8">
        <v>6</v>
      </c>
      <c r="P8">
        <v>6</v>
      </c>
    </row>
    <row r="9" spans="1:66" x14ac:dyDescent="0.2">
      <c r="A9">
        <v>6</v>
      </c>
      <c r="B9">
        <v>54</v>
      </c>
      <c r="C9">
        <v>1</v>
      </c>
      <c r="D9" t="s">
        <v>188</v>
      </c>
      <c r="E9">
        <v>1</v>
      </c>
      <c r="F9">
        <v>1</v>
      </c>
      <c r="K9">
        <v>6</v>
      </c>
      <c r="L9">
        <v>5</v>
      </c>
      <c r="M9">
        <v>5</v>
      </c>
      <c r="O9">
        <v>1</v>
      </c>
      <c r="P9">
        <v>1</v>
      </c>
      <c r="S9">
        <v>1</v>
      </c>
      <c r="T9">
        <v>1</v>
      </c>
    </row>
    <row r="10" spans="1:66" x14ac:dyDescent="0.2">
      <c r="A10">
        <v>7</v>
      </c>
      <c r="B10">
        <v>65</v>
      </c>
      <c r="J10">
        <v>3</v>
      </c>
      <c r="K10">
        <v>4</v>
      </c>
      <c r="N10">
        <v>6</v>
      </c>
      <c r="O10">
        <v>1</v>
      </c>
      <c r="P10">
        <v>1</v>
      </c>
      <c r="X10">
        <v>1</v>
      </c>
    </row>
    <row r="11" spans="1:66" x14ac:dyDescent="0.2">
      <c r="A11">
        <v>8</v>
      </c>
      <c r="B11">
        <v>74</v>
      </c>
      <c r="D11" t="s">
        <v>185</v>
      </c>
      <c r="E11">
        <v>1</v>
      </c>
      <c r="F11">
        <v>1</v>
      </c>
      <c r="K11">
        <v>7</v>
      </c>
      <c r="L11">
        <v>6</v>
      </c>
      <c r="M11">
        <v>6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84</v>
      </c>
      <c r="C12">
        <v>1</v>
      </c>
      <c r="D12" t="s">
        <v>185</v>
      </c>
      <c r="E12">
        <v>1</v>
      </c>
      <c r="F12">
        <v>1</v>
      </c>
      <c r="J12">
        <v>5</v>
      </c>
      <c r="K12">
        <v>3</v>
      </c>
      <c r="O12">
        <v>6</v>
      </c>
      <c r="P12">
        <v>6</v>
      </c>
      <c r="X12">
        <v>1</v>
      </c>
    </row>
    <row r="13" spans="1:66" x14ac:dyDescent="0.2">
      <c r="A13">
        <v>10</v>
      </c>
      <c r="B13">
        <v>93</v>
      </c>
      <c r="D13" t="s">
        <v>188</v>
      </c>
      <c r="E13">
        <v>1</v>
      </c>
      <c r="F13">
        <v>1</v>
      </c>
      <c r="J13">
        <v>4</v>
      </c>
      <c r="K13">
        <v>6</v>
      </c>
      <c r="N13">
        <v>8</v>
      </c>
      <c r="O13">
        <v>2</v>
      </c>
      <c r="P13">
        <v>2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107</v>
      </c>
      <c r="C14">
        <v>1</v>
      </c>
      <c r="G14" t="s">
        <v>185</v>
      </c>
      <c r="H14">
        <v>1</v>
      </c>
      <c r="I14">
        <v>1</v>
      </c>
      <c r="K14">
        <v>10</v>
      </c>
      <c r="L14">
        <v>9</v>
      </c>
      <c r="M14">
        <v>9</v>
      </c>
      <c r="Q14">
        <v>1</v>
      </c>
      <c r="R14">
        <v>1</v>
      </c>
      <c r="X14">
        <v>1</v>
      </c>
    </row>
    <row r="15" spans="1:66" x14ac:dyDescent="0.2">
      <c r="A15">
        <v>12</v>
      </c>
      <c r="B15">
        <v>115</v>
      </c>
      <c r="D15" t="s">
        <v>185</v>
      </c>
      <c r="E15">
        <v>1</v>
      </c>
      <c r="J15">
        <v>2</v>
      </c>
      <c r="K15">
        <v>2</v>
      </c>
      <c r="N15">
        <v>3</v>
      </c>
      <c r="O15">
        <v>1</v>
      </c>
      <c r="P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9</v>
      </c>
      <c r="F16">
        <f>SUM(F4:F15)</f>
        <v>6</v>
      </c>
      <c r="H16">
        <f t="shared" ref="H16:P16" si="0">SUM(H4:H15)</f>
        <v>2</v>
      </c>
      <c r="I16">
        <f t="shared" si="0"/>
        <v>2</v>
      </c>
      <c r="J16">
        <f t="shared" si="0"/>
        <v>19</v>
      </c>
      <c r="K16">
        <f t="shared" si="0"/>
        <v>66</v>
      </c>
      <c r="L16">
        <f t="shared" si="0"/>
        <v>28</v>
      </c>
      <c r="M16">
        <f t="shared" si="0"/>
        <v>28</v>
      </c>
      <c r="N16">
        <f t="shared" si="0"/>
        <v>25</v>
      </c>
      <c r="O16">
        <f t="shared" si="0"/>
        <v>30</v>
      </c>
      <c r="P16">
        <f t="shared" si="0"/>
        <v>27</v>
      </c>
      <c r="Q16">
        <f>SUM(Q4:Q15)</f>
        <v>1</v>
      </c>
      <c r="R16">
        <f>SUM(R4:R15)</f>
        <v>1</v>
      </c>
      <c r="S16">
        <f>SUM(S4:S15)</f>
        <v>3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8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0.66666666666666663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0.6</v>
      </c>
      <c r="F22">
        <f>T66/S66</f>
        <v>1</v>
      </c>
      <c r="I22" t="s">
        <v>23</v>
      </c>
      <c r="N22">
        <f>AVERAGE(I54:I65)</f>
        <v>1.5833333333333333</v>
      </c>
      <c r="O22">
        <f>MEDIAN(I54:I65)</f>
        <v>1.5</v>
      </c>
      <c r="P22">
        <f>MAX(I54:I65)</f>
        <v>5</v>
      </c>
      <c r="Q22">
        <f>_xlfn.STDEV.S(I54:I65)</f>
        <v>1.7298624923456323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0.75</v>
      </c>
      <c r="F24">
        <f>V66/U66</f>
        <v>1</v>
      </c>
      <c r="I24">
        <f>AVERAGE(A54:A65)</f>
        <v>2.25</v>
      </c>
      <c r="J24">
        <f>MAX(A54:A65)</f>
        <v>6</v>
      </c>
      <c r="K24">
        <f>_xlfn.STDEV.S(A54:A65)</f>
        <v>2.2207697273283831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5.5</v>
      </c>
      <c r="O25">
        <f>MEDIAN(K54:K65)</f>
        <v>5.5</v>
      </c>
      <c r="P25">
        <f>MAX(K54:K65)</f>
        <v>10</v>
      </c>
      <c r="Q25">
        <f>_xlfn.STDEV.S(K54:K65)</f>
        <v>2.3159525823376357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0.5</v>
      </c>
      <c r="F26">
        <f>I16/A19</f>
        <v>0.16666666666666666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0.22352941176470589</v>
      </c>
    </row>
    <row r="29" spans="1:66" x14ac:dyDescent="0.2">
      <c r="D29">
        <f>_xlfn.STDEV.S(A68:A79)</f>
        <v>0</v>
      </c>
      <c r="I29">
        <f>AVERAGE(C54:C65)</f>
        <v>8.3333333333333329E-2</v>
      </c>
      <c r="J29">
        <f>MAX(C54:C65)</f>
        <v>1</v>
      </c>
      <c r="K29">
        <f>_xlfn.STDEV.S(C54:C65)</f>
        <v>0.28867513459481287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0.77647058823529413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2.3333333333333335</v>
      </c>
      <c r="J34">
        <f>MAX(E54:E65)</f>
        <v>9</v>
      </c>
      <c r="K34">
        <f>_xlfn.STDEV.S(E54:E65)</f>
        <v>3.5760143718781094</v>
      </c>
      <c r="L34">
        <f>AVERAGE(K68:K79)</f>
        <v>3.5</v>
      </c>
      <c r="M34">
        <f>MAX(K68:K79)</f>
        <v>9</v>
      </c>
      <c r="N34">
        <f>_xlfn.STDEV.S(K68:K79)</f>
        <v>4.358898943540674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2.0833333333333335</v>
      </c>
      <c r="J37">
        <f>MAX(G54:G65)</f>
        <v>8</v>
      </c>
      <c r="K37">
        <f>_xlfn.STDEV.S(G54:G65)</f>
        <v>2.8431203515386634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2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4</v>
      </c>
      <c r="I54">
        <f t="shared" ref="I54:I65" si="5">IF(ISBLANK(B4),"",J4)</f>
        <v>2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1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>
        <f t="shared" si="7"/>
        <v>1</v>
      </c>
      <c r="O55">
        <f t="shared" si="8"/>
        <v>0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8</v>
      </c>
      <c r="G56">
        <f t="shared" si="4"/>
        <v>0</v>
      </c>
      <c r="I56">
        <f t="shared" si="5"/>
        <v>0</v>
      </c>
      <c r="K56">
        <f t="shared" si="6"/>
        <v>8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1</v>
      </c>
      <c r="K57">
        <f t="shared" si="6"/>
        <v>3</v>
      </c>
      <c r="N57">
        <f t="shared" si="7"/>
        <v>1</v>
      </c>
      <c r="O57">
        <f t="shared" si="8"/>
        <v>1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6</v>
      </c>
      <c r="C58">
        <f t="shared" si="2"/>
        <v>0</v>
      </c>
      <c r="E58">
        <f t="shared" si="3"/>
        <v>0</v>
      </c>
      <c r="G58">
        <f t="shared" si="4"/>
        <v>4</v>
      </c>
      <c r="I58">
        <f t="shared" si="5"/>
        <v>2</v>
      </c>
      <c r="K58">
        <f t="shared" si="6"/>
        <v>7</v>
      </c>
      <c r="N58" t="str">
        <f t="shared" si="7"/>
        <v/>
      </c>
      <c r="O58" t="str">
        <f t="shared" si="8"/>
        <v/>
      </c>
      <c r="P58">
        <f t="shared" si="9"/>
        <v>1</v>
      </c>
      <c r="Q58">
        <f t="shared" si="10"/>
        <v>0</v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0</v>
      </c>
      <c r="E59">
        <f t="shared" si="3"/>
        <v>5</v>
      </c>
      <c r="G59">
        <f t="shared" si="4"/>
        <v>0</v>
      </c>
      <c r="I59">
        <f t="shared" si="5"/>
        <v>0</v>
      </c>
      <c r="K59">
        <f t="shared" si="6"/>
        <v>6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1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0</v>
      </c>
      <c r="E60">
        <f t="shared" si="3"/>
        <v>0</v>
      </c>
      <c r="G60">
        <f t="shared" si="4"/>
        <v>6</v>
      </c>
      <c r="I60">
        <f t="shared" si="5"/>
        <v>3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6</v>
      </c>
      <c r="G61">
        <f t="shared" si="4"/>
        <v>0</v>
      </c>
      <c r="I61">
        <f t="shared" si="5"/>
        <v>0</v>
      </c>
      <c r="K61">
        <f t="shared" si="6"/>
        <v>7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6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5</v>
      </c>
      <c r="K62">
        <f t="shared" si="6"/>
        <v>3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0</v>
      </c>
      <c r="E63">
        <f t="shared" si="3"/>
        <v>0</v>
      </c>
      <c r="G63">
        <f t="shared" si="4"/>
        <v>8</v>
      </c>
      <c r="I63">
        <f t="shared" si="5"/>
        <v>4</v>
      </c>
      <c r="K63">
        <f t="shared" si="6"/>
        <v>6</v>
      </c>
      <c r="N63" t="str">
        <f t="shared" si="7"/>
        <v/>
      </c>
      <c r="O63" t="str">
        <f t="shared" si="8"/>
        <v/>
      </c>
      <c r="P63">
        <f t="shared" si="9"/>
        <v>1</v>
      </c>
      <c r="Q63">
        <f t="shared" si="10"/>
        <v>1</v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9</v>
      </c>
      <c r="G64">
        <f t="shared" si="4"/>
        <v>0</v>
      </c>
      <c r="I64">
        <f t="shared" si="5"/>
        <v>0</v>
      </c>
      <c r="K64">
        <f t="shared" si="6"/>
        <v>10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1</v>
      </c>
      <c r="C65">
        <f t="shared" si="2"/>
        <v>0</v>
      </c>
      <c r="E65">
        <f t="shared" si="3"/>
        <v>0</v>
      </c>
      <c r="G65">
        <f t="shared" si="4"/>
        <v>3</v>
      </c>
      <c r="I65">
        <f t="shared" si="5"/>
        <v>2</v>
      </c>
      <c r="K65">
        <f t="shared" si="6"/>
        <v>2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5</v>
      </c>
      <c r="O66">
        <f>SUM(O54:O65)</f>
        <v>3</v>
      </c>
      <c r="P66">
        <f>SUM(P54:P65)</f>
        <v>4</v>
      </c>
      <c r="Q66">
        <f>SUM(Q54:Q65)</f>
        <v>3</v>
      </c>
      <c r="S66">
        <f>SUM(S54:S65)</f>
        <v>1</v>
      </c>
      <c r="T66">
        <f>SUM(T54:T65)</f>
        <v>1</v>
      </c>
      <c r="U66">
        <f>SUM(U54:U65)</f>
        <v>1</v>
      </c>
      <c r="V66">
        <f>SUM(V54:V65)</f>
        <v>1</v>
      </c>
      <c r="Y66">
        <f>SUM(Y54:Y65)</f>
        <v>1</v>
      </c>
      <c r="AA66">
        <f>SUM(AA54:AA65)</f>
        <v>1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3</v>
      </c>
      <c r="G68">
        <f>AVERAGE(E68:E79)</f>
        <v>5.333333333333333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9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5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7</v>
      </c>
      <c r="I73">
        <f t="shared" si="22"/>
        <v>5</v>
      </c>
      <c r="K73">
        <f t="shared" si="23"/>
        <v>5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1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7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7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11</v>
      </c>
      <c r="I78">
        <f t="shared" si="22"/>
        <v>9</v>
      </c>
      <c r="K78">
        <f t="shared" si="23"/>
        <v>9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14</v>
      </c>
      <c r="K80">
        <f>SUM(K68:K79)</f>
        <v>14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C4">
        <v>1</v>
      </c>
      <c r="G4" t="s">
        <v>188</v>
      </c>
      <c r="H4">
        <v>1</v>
      </c>
      <c r="K4">
        <v>6</v>
      </c>
      <c r="O4">
        <v>5</v>
      </c>
      <c r="P4">
        <v>4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12</v>
      </c>
      <c r="C5">
        <v>1</v>
      </c>
      <c r="K5">
        <v>3</v>
      </c>
      <c r="O5">
        <v>3</v>
      </c>
      <c r="P5">
        <v>3</v>
      </c>
      <c r="Q5">
        <v>1</v>
      </c>
      <c r="R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21</v>
      </c>
      <c r="C6">
        <v>1</v>
      </c>
      <c r="G6" t="s">
        <v>185</v>
      </c>
      <c r="H6">
        <v>1</v>
      </c>
      <c r="J6">
        <v>3</v>
      </c>
      <c r="K6">
        <v>3</v>
      </c>
      <c r="N6">
        <v>3</v>
      </c>
      <c r="Q6">
        <v>1</v>
      </c>
      <c r="R6">
        <v>1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37</v>
      </c>
      <c r="C7">
        <v>1</v>
      </c>
      <c r="J7">
        <v>1</v>
      </c>
      <c r="K7">
        <v>3</v>
      </c>
      <c r="N7">
        <v>2</v>
      </c>
      <c r="O7">
        <v>3</v>
      </c>
      <c r="P7">
        <v>3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45</v>
      </c>
      <c r="G8" t="s">
        <v>185</v>
      </c>
      <c r="H8">
        <v>1</v>
      </c>
      <c r="K8">
        <v>4</v>
      </c>
      <c r="O8">
        <v>5</v>
      </c>
      <c r="P8">
        <v>4</v>
      </c>
      <c r="U8">
        <v>1</v>
      </c>
      <c r="W8" t="s">
        <v>186</v>
      </c>
      <c r="X8">
        <v>1</v>
      </c>
    </row>
    <row r="9" spans="1:66" x14ac:dyDescent="0.2">
      <c r="A9">
        <v>6</v>
      </c>
      <c r="B9">
        <v>55</v>
      </c>
      <c r="H9" t="s">
        <v>188</v>
      </c>
      <c r="I9">
        <v>1</v>
      </c>
      <c r="K9">
        <v>8</v>
      </c>
      <c r="L9">
        <v>6</v>
      </c>
      <c r="M9">
        <v>6</v>
      </c>
      <c r="Q9">
        <v>2</v>
      </c>
      <c r="R9">
        <v>2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70</v>
      </c>
      <c r="G10" t="s">
        <v>188</v>
      </c>
      <c r="H10">
        <v>1</v>
      </c>
      <c r="J10">
        <v>1</v>
      </c>
      <c r="K10">
        <v>8</v>
      </c>
      <c r="L10">
        <v>3</v>
      </c>
      <c r="M10">
        <v>3</v>
      </c>
      <c r="O10">
        <v>4</v>
      </c>
      <c r="P10">
        <v>1</v>
      </c>
      <c r="Q10">
        <v>2</v>
      </c>
      <c r="R10">
        <v>1</v>
      </c>
      <c r="U10">
        <v>1</v>
      </c>
      <c r="V10">
        <v>1</v>
      </c>
    </row>
    <row r="11" spans="1:66" x14ac:dyDescent="0.2">
      <c r="A11">
        <v>8</v>
      </c>
      <c r="B11">
        <v>80</v>
      </c>
      <c r="K11">
        <v>11</v>
      </c>
      <c r="L11">
        <v>9</v>
      </c>
      <c r="M11">
        <v>9</v>
      </c>
      <c r="O11">
        <v>2</v>
      </c>
      <c r="P11">
        <v>2</v>
      </c>
      <c r="Q11">
        <v>1</v>
      </c>
      <c r="R11">
        <v>1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86</v>
      </c>
      <c r="K12">
        <v>8</v>
      </c>
      <c r="L12">
        <v>7</v>
      </c>
      <c r="M12">
        <v>7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W12" t="s">
        <v>186</v>
      </c>
      <c r="X12">
        <v>1</v>
      </c>
    </row>
    <row r="13" spans="1:66" x14ac:dyDescent="0.2">
      <c r="A13">
        <v>10</v>
      </c>
      <c r="B13">
        <v>92</v>
      </c>
      <c r="G13" t="s">
        <v>185</v>
      </c>
      <c r="H13">
        <v>1</v>
      </c>
      <c r="I13">
        <v>1</v>
      </c>
      <c r="K13">
        <v>1</v>
      </c>
      <c r="L13">
        <v>1</v>
      </c>
    </row>
    <row r="14" spans="1:66" x14ac:dyDescent="0.2">
      <c r="A14">
        <v>11</v>
      </c>
      <c r="B14">
        <v>101</v>
      </c>
      <c r="K14">
        <v>2</v>
      </c>
      <c r="O14">
        <v>3</v>
      </c>
      <c r="P14">
        <v>3</v>
      </c>
      <c r="S14">
        <v>1</v>
      </c>
      <c r="T14">
        <v>1</v>
      </c>
      <c r="U14">
        <v>1</v>
      </c>
      <c r="W14" t="s">
        <v>186</v>
      </c>
      <c r="X14">
        <v>1</v>
      </c>
    </row>
    <row r="15" spans="1:66" x14ac:dyDescent="0.2">
      <c r="A15">
        <v>12</v>
      </c>
      <c r="B15">
        <v>112</v>
      </c>
      <c r="G15" t="s">
        <v>188</v>
      </c>
      <c r="H15">
        <v>1</v>
      </c>
      <c r="I15">
        <v>1</v>
      </c>
      <c r="K15">
        <v>7</v>
      </c>
      <c r="L15">
        <v>1</v>
      </c>
      <c r="M15">
        <v>1</v>
      </c>
      <c r="N15">
        <v>1</v>
      </c>
      <c r="O15">
        <v>4</v>
      </c>
      <c r="P15">
        <v>4</v>
      </c>
      <c r="Q15">
        <v>1</v>
      </c>
      <c r="R15">
        <v>1</v>
      </c>
      <c r="S15">
        <v>1</v>
      </c>
      <c r="T15">
        <v>1</v>
      </c>
      <c r="U15">
        <v>1</v>
      </c>
      <c r="W15" t="s">
        <v>186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6</v>
      </c>
      <c r="I16">
        <f t="shared" si="0"/>
        <v>3</v>
      </c>
      <c r="J16">
        <f t="shared" si="0"/>
        <v>5</v>
      </c>
      <c r="K16">
        <f t="shared" si="0"/>
        <v>64</v>
      </c>
      <c r="L16">
        <f t="shared" si="0"/>
        <v>27</v>
      </c>
      <c r="M16">
        <f t="shared" si="0"/>
        <v>26</v>
      </c>
      <c r="N16">
        <f t="shared" si="0"/>
        <v>6</v>
      </c>
      <c r="O16">
        <f t="shared" si="0"/>
        <v>30</v>
      </c>
      <c r="P16">
        <f t="shared" si="0"/>
        <v>25</v>
      </c>
      <c r="Q16">
        <f>SUM(Q4:Q15)</f>
        <v>10</v>
      </c>
      <c r="R16">
        <f>SUM(R4:R15)</f>
        <v>9</v>
      </c>
      <c r="S16">
        <f>SUM(S4:S15)</f>
        <v>4</v>
      </c>
      <c r="T16">
        <v>0</v>
      </c>
      <c r="U16">
        <f>SUM(U4:U15)</f>
        <v>9</v>
      </c>
      <c r="V16">
        <f>SUM(V4:V15)</f>
        <v>4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0.83333333333333337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0.33333333333333331</v>
      </c>
      <c r="I22" t="s">
        <v>23</v>
      </c>
      <c r="N22">
        <f>AVERAGE(I54:I65)</f>
        <v>0.41666666666666669</v>
      </c>
      <c r="O22">
        <f>MEDIAN(I54:I65)</f>
        <v>0</v>
      </c>
      <c r="P22">
        <f>MAX(I54:I65)</f>
        <v>3</v>
      </c>
      <c r="Q22">
        <f>_xlfn.STDEV.S(I54:I65)</f>
        <v>0.90033663737851999</v>
      </c>
      <c r="S22">
        <f>V16/U16</f>
        <v>0.44444444444444442</v>
      </c>
      <c r="U22">
        <f>AA66/Y66</f>
        <v>0.375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0.33333333333333331</v>
      </c>
      <c r="I24">
        <f>AVERAGE(A54:A65)</f>
        <v>2.0833333333333335</v>
      </c>
      <c r="J24">
        <f>MAX(A54:A65)</f>
        <v>4</v>
      </c>
      <c r="K24">
        <f>_xlfn.STDEV.S(A54:A65)</f>
        <v>1.6213537179739277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5.333333333333333</v>
      </c>
      <c r="O25">
        <f>MEDIAN(K54:K65)</f>
        <v>5</v>
      </c>
      <c r="P25">
        <f>MAX(K54:K65)</f>
        <v>11</v>
      </c>
      <c r="Q25">
        <f>_xlfn.STDEV.S(K54:K65)</f>
        <v>3.0846639225613406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0.25</v>
      </c>
      <c r="I26">
        <f>R16/Q16</f>
        <v>0.9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7.2463768115942032E-2</v>
      </c>
    </row>
    <row r="29" spans="1:66" x14ac:dyDescent="0.2">
      <c r="D29">
        <f>_xlfn.STDEV.S(A68:A79)</f>
        <v>0.53452248382484879</v>
      </c>
      <c r="I29">
        <f>AVERAGE(C54:C65)</f>
        <v>0.75</v>
      </c>
      <c r="J29">
        <f>MAX(C54:C65)</f>
        <v>2</v>
      </c>
      <c r="K29">
        <f>_xlfn.STDEV.S(C54:C65)</f>
        <v>0.62158156050806102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0.92753623188405798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0.96296296296296291</v>
      </c>
      <c r="L31" t="e">
        <f>K80/I80</f>
        <v>#DIV/0!</v>
      </c>
    </row>
    <row r="32" spans="1:66" x14ac:dyDescent="0.2">
      <c r="D32" t="e">
        <f>D94/B94</f>
        <v>#DIV/0!</v>
      </c>
      <c r="F32">
        <f>H94/F94</f>
        <v>0.5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2.1666666666666665</v>
      </c>
      <c r="J34">
        <f>MAX(E54:E65)</f>
        <v>9</v>
      </c>
      <c r="K34">
        <f>_xlfn.STDEV.S(E54:E65)</f>
        <v>3.2983007562664564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0.5</v>
      </c>
      <c r="J37">
        <f>MAX(G54:G65)</f>
        <v>3</v>
      </c>
      <c r="K37">
        <f>_xlfn.STDEV.S(G54:G65)</f>
        <v>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0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3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0</v>
      </c>
      <c r="G56">
        <f t="shared" si="4"/>
        <v>3</v>
      </c>
      <c r="I56">
        <f t="shared" si="5"/>
        <v>3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0</v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3</v>
      </c>
      <c r="C57">
        <f t="shared" si="2"/>
        <v>0</v>
      </c>
      <c r="E57">
        <f t="shared" si="3"/>
        <v>0</v>
      </c>
      <c r="G57">
        <f t="shared" si="4"/>
        <v>2</v>
      </c>
      <c r="I57">
        <f t="shared" si="5"/>
        <v>1</v>
      </c>
      <c r="K57">
        <f t="shared" si="6"/>
        <v>3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0</v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0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2</v>
      </c>
      <c r="E59">
        <f t="shared" si="3"/>
        <v>6</v>
      </c>
      <c r="G59">
        <f t="shared" si="4"/>
        <v>0</v>
      </c>
      <c r="I59">
        <f t="shared" si="5"/>
        <v>0</v>
      </c>
      <c r="K59">
        <f t="shared" si="6"/>
        <v>8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1</v>
      </c>
      <c r="E60">
        <f t="shared" si="3"/>
        <v>3</v>
      </c>
      <c r="G60">
        <f t="shared" si="4"/>
        <v>0</v>
      </c>
      <c r="I60">
        <f t="shared" si="5"/>
        <v>1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0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2</v>
      </c>
      <c r="C61">
        <f t="shared" si="2"/>
        <v>1</v>
      </c>
      <c r="E61">
        <f t="shared" si="3"/>
        <v>9</v>
      </c>
      <c r="G61">
        <f t="shared" si="4"/>
        <v>0</v>
      </c>
      <c r="I61">
        <f t="shared" si="5"/>
        <v>0</v>
      </c>
      <c r="K61">
        <f t="shared" si="6"/>
        <v>11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1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0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1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3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2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0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1</v>
      </c>
      <c r="E65">
        <f t="shared" si="3"/>
        <v>1</v>
      </c>
      <c r="G65">
        <f t="shared" si="4"/>
        <v>1</v>
      </c>
      <c r="I65">
        <f t="shared" si="5"/>
        <v>0</v>
      </c>
      <c r="K65">
        <f t="shared" si="6"/>
        <v>7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>
        <f t="shared" si="15"/>
        <v>1</v>
      </c>
      <c r="AA65">
        <f t="shared" si="16"/>
        <v>0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1</v>
      </c>
      <c r="U66">
        <f>SUM(U54:U65)</f>
        <v>3</v>
      </c>
      <c r="V66">
        <f>SUM(V54:V65)</f>
        <v>1</v>
      </c>
      <c r="Y66">
        <f>SUM(Y54:Y65)</f>
        <v>8</v>
      </c>
      <c r="AA66">
        <f>SUM(AA54:AA65)</f>
        <v>3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5</v>
      </c>
      <c r="G68">
        <f>AVERAGE(E68:E79)</f>
        <v>5.25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0</v>
      </c>
      <c r="C70">
        <f t="shared" si="20"/>
        <v>0</v>
      </c>
      <c r="E70">
        <f t="shared" si="21"/>
        <v>1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3</v>
      </c>
      <c r="I71">
        <f t="shared" si="22"/>
        <v>0</v>
      </c>
      <c r="K71">
        <f t="shared" si="23"/>
        <v>0</v>
      </c>
    </row>
    <row r="72" spans="1:31" x14ac:dyDescent="0.2">
      <c r="A72">
        <f t="shared" si="19"/>
        <v>0</v>
      </c>
      <c r="C72">
        <f t="shared" si="20"/>
        <v>0</v>
      </c>
      <c r="E72">
        <f t="shared" si="21"/>
        <v>4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9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0</v>
      </c>
      <c r="C74">
        <f t="shared" si="20"/>
        <v>1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12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1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3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>
        <f t="shared" si="26"/>
        <v>2</v>
      </c>
      <c r="H87">
        <f t="shared" si="27"/>
        <v>1</v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2</v>
      </c>
      <c r="H94">
        <f>SUM(H82:H93)</f>
        <v>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BN94"/>
  <sheetViews>
    <sheetView workbookViewId="0">
      <selection activeCell="B29" sqref="B2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D4" t="s">
        <v>188</v>
      </c>
      <c r="E4">
        <v>1</v>
      </c>
      <c r="F4">
        <v>1</v>
      </c>
      <c r="J4">
        <v>1</v>
      </c>
      <c r="K4">
        <v>6</v>
      </c>
      <c r="O4">
        <v>7</v>
      </c>
      <c r="P4">
        <v>5</v>
      </c>
      <c r="S4">
        <v>1</v>
      </c>
      <c r="T4">
        <v>1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15</v>
      </c>
      <c r="D5" t="s">
        <v>185</v>
      </c>
      <c r="E5">
        <v>2</v>
      </c>
      <c r="F5">
        <v>1</v>
      </c>
      <c r="K5">
        <v>5</v>
      </c>
      <c r="O5">
        <v>5</v>
      </c>
      <c r="P5">
        <v>4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21</v>
      </c>
      <c r="C6">
        <v>1</v>
      </c>
      <c r="D6" t="s">
        <v>185</v>
      </c>
      <c r="E6">
        <v>2</v>
      </c>
      <c r="F6">
        <v>1</v>
      </c>
      <c r="J6">
        <v>1</v>
      </c>
      <c r="K6">
        <v>6</v>
      </c>
      <c r="O6">
        <v>6</v>
      </c>
      <c r="P6">
        <v>4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33</v>
      </c>
      <c r="D7" t="s">
        <v>188</v>
      </c>
      <c r="E7">
        <v>1</v>
      </c>
      <c r="F7">
        <v>1</v>
      </c>
      <c r="K7">
        <v>4</v>
      </c>
      <c r="L7">
        <v>2</v>
      </c>
      <c r="M7">
        <v>2</v>
      </c>
      <c r="N7">
        <v>1</v>
      </c>
      <c r="O7">
        <v>1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41</v>
      </c>
      <c r="D8" t="s">
        <v>188</v>
      </c>
      <c r="E8">
        <v>1</v>
      </c>
      <c r="K8">
        <v>8</v>
      </c>
      <c r="L8">
        <v>4</v>
      </c>
      <c r="M8">
        <v>4</v>
      </c>
      <c r="O8">
        <v>1</v>
      </c>
      <c r="Q8">
        <v>3</v>
      </c>
      <c r="R8">
        <v>2</v>
      </c>
      <c r="U8">
        <v>1</v>
      </c>
      <c r="W8" t="s">
        <v>186</v>
      </c>
      <c r="X8">
        <v>1</v>
      </c>
    </row>
    <row r="9" spans="1:66" x14ac:dyDescent="0.2">
      <c r="A9">
        <v>6</v>
      </c>
      <c r="B9">
        <v>51</v>
      </c>
      <c r="D9" t="s">
        <v>188</v>
      </c>
      <c r="E9">
        <v>1</v>
      </c>
      <c r="J9">
        <v>1</v>
      </c>
      <c r="K9">
        <v>4</v>
      </c>
      <c r="O9">
        <v>4</v>
      </c>
      <c r="P9">
        <v>2</v>
      </c>
      <c r="Q9">
        <v>1</v>
      </c>
      <c r="R9">
        <v>1</v>
      </c>
      <c r="U9">
        <v>1</v>
      </c>
      <c r="V9">
        <v>1</v>
      </c>
      <c r="W9" t="s">
        <v>189</v>
      </c>
    </row>
    <row r="10" spans="1:66" x14ac:dyDescent="0.2">
      <c r="A10">
        <v>7</v>
      </c>
      <c r="B10">
        <v>62</v>
      </c>
      <c r="C10">
        <v>1</v>
      </c>
      <c r="G10" t="s">
        <v>188</v>
      </c>
      <c r="H10">
        <v>1</v>
      </c>
      <c r="I10">
        <v>1</v>
      </c>
      <c r="J10">
        <v>2</v>
      </c>
      <c r="K10">
        <v>4</v>
      </c>
      <c r="O10">
        <v>6</v>
      </c>
      <c r="P10">
        <v>3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80</v>
      </c>
      <c r="C11">
        <v>1</v>
      </c>
      <c r="D11" t="s">
        <v>188</v>
      </c>
      <c r="E11">
        <v>1</v>
      </c>
      <c r="F11">
        <v>1</v>
      </c>
      <c r="J11">
        <v>4</v>
      </c>
      <c r="K11">
        <v>3</v>
      </c>
      <c r="N11">
        <v>3</v>
      </c>
      <c r="O11">
        <v>3</v>
      </c>
      <c r="P11">
        <v>2</v>
      </c>
      <c r="X11">
        <v>1</v>
      </c>
    </row>
    <row r="12" spans="1:66" x14ac:dyDescent="0.2">
      <c r="A12">
        <v>9</v>
      </c>
      <c r="B12">
        <v>88</v>
      </c>
      <c r="C12">
        <v>1</v>
      </c>
      <c r="D12" t="s">
        <v>185</v>
      </c>
      <c r="E12">
        <v>2</v>
      </c>
      <c r="F12">
        <v>1</v>
      </c>
      <c r="J12">
        <v>2</v>
      </c>
      <c r="K12">
        <v>4</v>
      </c>
      <c r="N12">
        <v>3</v>
      </c>
      <c r="O12">
        <v>3</v>
      </c>
      <c r="P12">
        <v>3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98</v>
      </c>
      <c r="D13" t="s">
        <v>188</v>
      </c>
      <c r="E13">
        <v>1</v>
      </c>
      <c r="K13">
        <v>5</v>
      </c>
      <c r="O13">
        <v>5</v>
      </c>
      <c r="P13">
        <v>3</v>
      </c>
      <c r="X13">
        <v>1</v>
      </c>
    </row>
    <row r="14" spans="1:66" x14ac:dyDescent="0.2">
      <c r="A14">
        <v>11</v>
      </c>
      <c r="B14">
        <v>104</v>
      </c>
      <c r="C14">
        <v>1</v>
      </c>
      <c r="D14" t="s">
        <v>185</v>
      </c>
      <c r="E14">
        <v>1</v>
      </c>
      <c r="F14">
        <v>1</v>
      </c>
      <c r="K14">
        <v>6</v>
      </c>
      <c r="O14">
        <v>4</v>
      </c>
      <c r="P14">
        <v>4</v>
      </c>
      <c r="Q14">
        <v>2</v>
      </c>
      <c r="R14">
        <v>2</v>
      </c>
      <c r="X14">
        <v>1</v>
      </c>
    </row>
    <row r="15" spans="1:66" x14ac:dyDescent="0.2">
      <c r="A15">
        <v>12</v>
      </c>
      <c r="B15">
        <v>115</v>
      </c>
      <c r="D15" t="s">
        <v>185</v>
      </c>
      <c r="E15">
        <v>1</v>
      </c>
      <c r="F15">
        <v>1</v>
      </c>
      <c r="K15">
        <v>4</v>
      </c>
      <c r="O15">
        <v>2</v>
      </c>
      <c r="Q15">
        <v>2</v>
      </c>
      <c r="R15">
        <v>1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5</v>
      </c>
      <c r="E16">
        <f>SUM(E4:E15)</f>
        <v>14</v>
      </c>
      <c r="F16">
        <f>SUM(F4:F15)</f>
        <v>8</v>
      </c>
      <c r="H16">
        <f t="shared" ref="H16:P16" si="0">SUM(H4:H15)</f>
        <v>1</v>
      </c>
      <c r="I16">
        <f t="shared" si="0"/>
        <v>1</v>
      </c>
      <c r="J16">
        <f t="shared" si="0"/>
        <v>11</v>
      </c>
      <c r="K16">
        <f t="shared" si="0"/>
        <v>59</v>
      </c>
      <c r="L16">
        <f t="shared" si="0"/>
        <v>6</v>
      </c>
      <c r="M16">
        <f t="shared" si="0"/>
        <v>6</v>
      </c>
      <c r="N16">
        <f t="shared" si="0"/>
        <v>7</v>
      </c>
      <c r="O16">
        <f t="shared" si="0"/>
        <v>47</v>
      </c>
      <c r="P16">
        <f t="shared" si="0"/>
        <v>30</v>
      </c>
      <c r="Q16">
        <f>SUM(Q4:Q15)</f>
        <v>8</v>
      </c>
      <c r="R16">
        <f>SUM(R4:R15)</f>
        <v>6</v>
      </c>
      <c r="S16">
        <f>SUM(S4:S15)</f>
        <v>7</v>
      </c>
      <c r="T16">
        <v>0</v>
      </c>
      <c r="U16">
        <f>SUM(U4:U15)</f>
        <v>3</v>
      </c>
      <c r="V16">
        <f>SUM(V4:V15)</f>
        <v>1</v>
      </c>
      <c r="W16">
        <f>SUM(W4:W15)</f>
        <v>0</v>
      </c>
      <c r="X16">
        <f>SUM(X4:X15)</f>
        <v>11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0.72727272727272729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0.63829787234042556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0.625</v>
      </c>
      <c r="F22" t="e">
        <f>T66/S66</f>
        <v>#DIV/0!</v>
      </c>
      <c r="I22" t="s">
        <v>23</v>
      </c>
      <c r="N22">
        <f>AVERAGE(I54:I65)</f>
        <v>0.91666666666666663</v>
      </c>
      <c r="O22">
        <f>MEDIAN(I54:I65)</f>
        <v>0.5</v>
      </c>
      <c r="P22">
        <f>MAX(I54:I65)</f>
        <v>4</v>
      </c>
      <c r="Q22">
        <f>_xlfn.STDEV.S(I54:I65)</f>
        <v>1.2401124093721454</v>
      </c>
      <c r="S22">
        <f>V16/U16</f>
        <v>0.33333333333333331</v>
      </c>
      <c r="U22">
        <f>AA66/Y66</f>
        <v>0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0.5</v>
      </c>
      <c r="F24">
        <f>V66/U66</f>
        <v>1</v>
      </c>
      <c r="I24">
        <f>AVERAGE(A54:A65)</f>
        <v>2.5</v>
      </c>
      <c r="J24">
        <f>MAX(A54:A65)</f>
        <v>5</v>
      </c>
      <c r="K24">
        <f>_xlfn.STDEV.S(A54:A65)</f>
        <v>1.7320508075688772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4.916666666666667</v>
      </c>
      <c r="O25">
        <f>MEDIAN(K54:K65)</f>
        <v>4.5</v>
      </c>
      <c r="P25">
        <f>MAX(K54:K65)</f>
        <v>8</v>
      </c>
      <c r="Q25">
        <f>_xlfn.STDEV.S(K54:K65)</f>
        <v>1.3789543689024497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0.66666666666666663</v>
      </c>
      <c r="F26">
        <f>I16/A19</f>
        <v>8.3333333333333329E-2</v>
      </c>
      <c r="I26">
        <f>R16/Q16</f>
        <v>0.75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0.15714285714285714</v>
      </c>
    </row>
    <row r="29" spans="1:66" x14ac:dyDescent="0.2">
      <c r="D29" t="e">
        <f>_xlfn.STDEV.S(A68:A79)</f>
        <v>#DIV/0!</v>
      </c>
      <c r="I29">
        <f>AVERAGE(C54:C65)</f>
        <v>0.5</v>
      </c>
      <c r="J29">
        <f>MAX(C54:C65)</f>
        <v>2</v>
      </c>
      <c r="K29">
        <f>_xlfn.STDEV.S(C54:C65)</f>
        <v>0.7977240352174656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0.84285714285714286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>
        <f>D94/B94</f>
        <v>0.5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0.5</v>
      </c>
      <c r="J34">
        <f>MAX(E54:E65)</f>
        <v>4</v>
      </c>
      <c r="K34">
        <f>_xlfn.STDEV.S(E54:E65)</f>
        <v>1.243163121016122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0.58333333333333337</v>
      </c>
      <c r="J37">
        <f>MAX(G54:G65)</f>
        <v>3</v>
      </c>
      <c r="K37">
        <f>_xlfn.STDEV.S(G54:G65)</f>
        <v>1.164500152881315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1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>
        <f t="shared" si="7"/>
        <v>2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6</v>
      </c>
      <c r="N56">
        <f t="shared" si="7"/>
        <v>2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2</v>
      </c>
      <c r="G57">
        <f t="shared" si="4"/>
        <v>1</v>
      </c>
      <c r="I57">
        <f t="shared" si="5"/>
        <v>0</v>
      </c>
      <c r="K57">
        <f t="shared" si="6"/>
        <v>4</v>
      </c>
      <c r="N57" t="str">
        <f t="shared" si="7"/>
        <v/>
      </c>
      <c r="O57" t="str">
        <f t="shared" si="8"/>
        <v/>
      </c>
      <c r="P57">
        <f t="shared" si="9"/>
        <v>1</v>
      </c>
      <c r="Q57">
        <f t="shared" si="10"/>
        <v>1</v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4</v>
      </c>
      <c r="G58">
        <f t="shared" si="4"/>
        <v>0</v>
      </c>
      <c r="I58">
        <f t="shared" si="5"/>
        <v>0</v>
      </c>
      <c r="K58">
        <f t="shared" si="6"/>
        <v>8</v>
      </c>
      <c r="N58" t="str">
        <f t="shared" si="7"/>
        <v/>
      </c>
      <c r="O58" t="str">
        <f t="shared" si="8"/>
        <v/>
      </c>
      <c r="P58">
        <f t="shared" si="9"/>
        <v>1</v>
      </c>
      <c r="Q58">
        <f t="shared" si="10"/>
        <v>0</v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0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2</v>
      </c>
      <c r="C59">
        <f t="shared" si="2"/>
        <v>1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4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0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1</v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2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2</v>
      </c>
      <c r="C61">
        <f t="shared" si="2"/>
        <v>0</v>
      </c>
      <c r="E61">
        <f t="shared" si="3"/>
        <v>0</v>
      </c>
      <c r="G61">
        <f t="shared" si="4"/>
        <v>3</v>
      </c>
      <c r="I61">
        <f t="shared" si="5"/>
        <v>4</v>
      </c>
      <c r="K61">
        <f t="shared" si="6"/>
        <v>3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0</v>
      </c>
      <c r="E62">
        <f t="shared" si="3"/>
        <v>0</v>
      </c>
      <c r="G62">
        <f t="shared" si="4"/>
        <v>3</v>
      </c>
      <c r="I62">
        <f t="shared" si="5"/>
        <v>2</v>
      </c>
      <c r="K62">
        <f t="shared" si="6"/>
        <v>4</v>
      </c>
      <c r="N62">
        <f t="shared" si="7"/>
        <v>2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>
        <f t="shared" si="9"/>
        <v>1</v>
      </c>
      <c r="Q63">
        <f t="shared" si="10"/>
        <v>0</v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2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6</v>
      </c>
      <c r="N64">
        <f t="shared" si="7"/>
        <v>1</v>
      </c>
      <c r="O64">
        <f t="shared" si="8"/>
        <v>1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4</v>
      </c>
      <c r="N65">
        <f t="shared" si="7"/>
        <v>1</v>
      </c>
      <c r="O65">
        <f t="shared" si="8"/>
        <v>1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8</v>
      </c>
      <c r="O66">
        <f>SUM(O54:O65)</f>
        <v>5</v>
      </c>
      <c r="P66">
        <f>SUM(P54:P65)</f>
        <v>6</v>
      </c>
      <c r="Q66">
        <f>SUM(Q54:Q65)</f>
        <v>3</v>
      </c>
      <c r="S66">
        <f>SUM(S54:S65)</f>
        <v>0</v>
      </c>
      <c r="T66">
        <f>SUM(T54:T65)</f>
        <v>0</v>
      </c>
      <c r="U66">
        <f>SUM(U54:U65)</f>
        <v>1</v>
      </c>
      <c r="V66">
        <f>SUM(V54:V65)</f>
        <v>1</v>
      </c>
      <c r="Y66">
        <f>SUM(Y54:Y65)</f>
        <v>2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6</v>
      </c>
      <c r="G68">
        <f>AVERAGE(E68:E79)</f>
        <v>4.25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5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3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3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4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3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4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7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2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>
        <f t="shared" ref="B83:B93" si="24">IF(E5 &gt;= 2, 2, "")</f>
        <v>2</v>
      </c>
      <c r="D83">
        <f t="shared" ref="D83:D93" si="25">IF(E5 &gt;= 2, IF(F5 &gt; 2, 2, F5), "")</f>
        <v>1</v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>
        <f t="shared" si="24"/>
        <v>2</v>
      </c>
      <c r="D84">
        <f t="shared" si="25"/>
        <v>1</v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>
        <f t="shared" si="24"/>
        <v>2</v>
      </c>
      <c r="D90">
        <f t="shared" si="25"/>
        <v>1</v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6</v>
      </c>
      <c r="D94">
        <f>SUM(D82:D93)</f>
        <v>3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1:BN94"/>
  <sheetViews>
    <sheetView topLeftCell="U1"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10</v>
      </c>
      <c r="G4" t="s">
        <v>188</v>
      </c>
      <c r="H4">
        <v>1</v>
      </c>
      <c r="I4">
        <v>1</v>
      </c>
      <c r="K4">
        <v>8</v>
      </c>
      <c r="L4">
        <v>8</v>
      </c>
      <c r="M4">
        <v>8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16</v>
      </c>
      <c r="D5" t="s">
        <v>188</v>
      </c>
      <c r="E5">
        <v>1</v>
      </c>
      <c r="K5">
        <v>4</v>
      </c>
      <c r="N5">
        <v>1</v>
      </c>
      <c r="O5">
        <v>3</v>
      </c>
      <c r="P5">
        <v>3</v>
      </c>
      <c r="S5">
        <v>1</v>
      </c>
      <c r="T5">
        <v>1</v>
      </c>
      <c r="U5">
        <v>1</v>
      </c>
      <c r="W5" t="s">
        <v>186</v>
      </c>
      <c r="X5">
        <v>1</v>
      </c>
    </row>
    <row r="6" spans="1:66" x14ac:dyDescent="0.2">
      <c r="A6">
        <v>3</v>
      </c>
      <c r="B6">
        <v>24</v>
      </c>
      <c r="C6">
        <v>1</v>
      </c>
      <c r="G6" t="s">
        <v>188</v>
      </c>
      <c r="H6">
        <v>1</v>
      </c>
      <c r="I6">
        <v>1</v>
      </c>
      <c r="K6">
        <v>12</v>
      </c>
      <c r="L6">
        <v>10</v>
      </c>
      <c r="M6">
        <v>10</v>
      </c>
      <c r="O6">
        <v>2</v>
      </c>
      <c r="P6">
        <v>2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35</v>
      </c>
      <c r="C7">
        <v>1</v>
      </c>
      <c r="X7">
        <v>1</v>
      </c>
    </row>
    <row r="8" spans="1:66" x14ac:dyDescent="0.2">
      <c r="A8">
        <v>5</v>
      </c>
      <c r="B8">
        <v>46</v>
      </c>
      <c r="D8" t="s">
        <v>185</v>
      </c>
      <c r="E8">
        <v>1</v>
      </c>
      <c r="F8">
        <v>1</v>
      </c>
      <c r="K8">
        <v>5</v>
      </c>
      <c r="L8">
        <v>1</v>
      </c>
      <c r="M8">
        <v>1</v>
      </c>
      <c r="O8">
        <v>4</v>
      </c>
      <c r="P8">
        <v>4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52</v>
      </c>
      <c r="G9" t="s">
        <v>188</v>
      </c>
      <c r="H9">
        <v>2</v>
      </c>
      <c r="I9">
        <v>1</v>
      </c>
      <c r="K9">
        <v>5</v>
      </c>
      <c r="L9">
        <v>4</v>
      </c>
      <c r="M9">
        <v>4</v>
      </c>
      <c r="O9">
        <v>1</v>
      </c>
      <c r="P9">
        <v>1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62</v>
      </c>
      <c r="C10">
        <v>1</v>
      </c>
      <c r="K10">
        <v>7</v>
      </c>
      <c r="L10">
        <v>5</v>
      </c>
      <c r="M10">
        <v>5</v>
      </c>
      <c r="O10">
        <v>3</v>
      </c>
      <c r="P10">
        <v>2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78</v>
      </c>
      <c r="O11">
        <v>1</v>
      </c>
      <c r="P11">
        <v>1</v>
      </c>
      <c r="X11">
        <v>1</v>
      </c>
    </row>
    <row r="12" spans="1:66" x14ac:dyDescent="0.2">
      <c r="A12">
        <v>9</v>
      </c>
      <c r="B12">
        <v>83</v>
      </c>
      <c r="G12" t="s">
        <v>188</v>
      </c>
      <c r="H12">
        <v>1</v>
      </c>
      <c r="J12">
        <v>1</v>
      </c>
      <c r="K12">
        <v>5</v>
      </c>
      <c r="O12">
        <v>2</v>
      </c>
      <c r="P12">
        <v>2</v>
      </c>
      <c r="Q12">
        <v>4</v>
      </c>
      <c r="R12">
        <v>4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91</v>
      </c>
      <c r="G13" t="s">
        <v>188</v>
      </c>
      <c r="H13">
        <v>1</v>
      </c>
      <c r="I13">
        <v>1</v>
      </c>
      <c r="K13">
        <v>8</v>
      </c>
      <c r="L13">
        <v>7</v>
      </c>
      <c r="M13">
        <v>7</v>
      </c>
      <c r="Q13">
        <v>1</v>
      </c>
      <c r="R13">
        <v>1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105</v>
      </c>
      <c r="C14">
        <v>1</v>
      </c>
      <c r="J14">
        <v>1</v>
      </c>
      <c r="K14">
        <v>5</v>
      </c>
      <c r="O14">
        <v>4</v>
      </c>
      <c r="P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111</v>
      </c>
      <c r="C15">
        <v>1</v>
      </c>
      <c r="G15" t="s">
        <v>188</v>
      </c>
      <c r="H15">
        <v>2</v>
      </c>
      <c r="I15">
        <v>1</v>
      </c>
      <c r="K15">
        <v>10</v>
      </c>
      <c r="L15">
        <v>10</v>
      </c>
      <c r="M15">
        <v>9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5</v>
      </c>
      <c r="E16">
        <f>SUM(E4:E15)</f>
        <v>2</v>
      </c>
      <c r="F16">
        <f>SUM(F4:F15)</f>
        <v>1</v>
      </c>
      <c r="H16">
        <f t="shared" ref="H16:P16" si="0">SUM(H4:H15)</f>
        <v>8</v>
      </c>
      <c r="I16">
        <f t="shared" si="0"/>
        <v>5</v>
      </c>
      <c r="J16">
        <f t="shared" si="0"/>
        <v>2</v>
      </c>
      <c r="K16">
        <f t="shared" si="0"/>
        <v>69</v>
      </c>
      <c r="L16">
        <f t="shared" si="0"/>
        <v>45</v>
      </c>
      <c r="M16">
        <f t="shared" si="0"/>
        <v>44</v>
      </c>
      <c r="N16">
        <f t="shared" si="0"/>
        <v>1</v>
      </c>
      <c r="O16">
        <f t="shared" si="0"/>
        <v>20</v>
      </c>
      <c r="P16">
        <f t="shared" si="0"/>
        <v>19</v>
      </c>
      <c r="Q16">
        <f>SUM(Q4:Q15)</f>
        <v>5</v>
      </c>
      <c r="R16">
        <f>SUM(R4:R15)</f>
        <v>5</v>
      </c>
      <c r="S16">
        <f>SUM(S4:S15)</f>
        <v>3</v>
      </c>
      <c r="T16">
        <v>0</v>
      </c>
      <c r="U16">
        <f>SUM(U4:U15)</f>
        <v>8</v>
      </c>
      <c r="V16">
        <f>SUM(V4:V15)</f>
        <v>6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</v>
      </c>
      <c r="F20">
        <f>COUNT(I4:I15)/COUNT(H4:H15)</f>
        <v>0.83333333333333337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0.95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 t="e">
        <f>T66/S66</f>
        <v>#DIV/0!</v>
      </c>
      <c r="I22" t="s">
        <v>23</v>
      </c>
      <c r="N22">
        <f>AVERAGE(I54:I65)</f>
        <v>0.16666666666666666</v>
      </c>
      <c r="O22">
        <f>MEDIAN(I54:I65)</f>
        <v>0</v>
      </c>
      <c r="P22">
        <f>MAX(I54:I65)</f>
        <v>1</v>
      </c>
      <c r="Q22">
        <f>_xlfn.STDEV.S(I54:I65)</f>
        <v>0.38924947208076149</v>
      </c>
      <c r="S22">
        <f>V16/U16</f>
        <v>0.75</v>
      </c>
      <c r="U22">
        <f>AA66/Y66</f>
        <v>0.75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0.625</v>
      </c>
      <c r="I24">
        <f>AVERAGE(A54:A65)</f>
        <v>1.5833333333333333</v>
      </c>
      <c r="J24">
        <f>MAX(A54:A65)</f>
        <v>4</v>
      </c>
      <c r="K24">
        <f>_xlfn.STDEV.S(A54:A65)</f>
        <v>1.5050420310248864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5.75</v>
      </c>
      <c r="O25">
        <f>MEDIAN(K54:K65)</f>
        <v>5</v>
      </c>
      <c r="P25">
        <f>MAX(K54:K65)</f>
        <v>12</v>
      </c>
      <c r="Q25">
        <f>_xlfn.STDEV.S(K54:K65)</f>
        <v>3.5707142142714252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0.41666666666666669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2.8169014084507043E-2</v>
      </c>
    </row>
    <row r="29" spans="1:66" x14ac:dyDescent="0.2">
      <c r="D29">
        <f>_xlfn.STDEV.S(A68:A79)</f>
        <v>0.40824829046386296</v>
      </c>
      <c r="I29">
        <f>AVERAGE(C54:C65)</f>
        <v>0.41666666666666669</v>
      </c>
      <c r="J29">
        <f>MAX(C54:C65)</f>
        <v>4</v>
      </c>
      <c r="K29">
        <f>_xlfn.STDEV.S(C54:C65)</f>
        <v>1.164500152881315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0.971830985915493</v>
      </c>
      <c r="S30">
        <f>_xlfn.STDEV.S(C68:C79)</f>
        <v>0.5222329678670935</v>
      </c>
    </row>
    <row r="31" spans="1:66" x14ac:dyDescent="0.2">
      <c r="D31" t="s">
        <v>179</v>
      </c>
      <c r="F31" t="s">
        <v>180</v>
      </c>
      <c r="I31">
        <f>M16/L16</f>
        <v>0.97777777777777775</v>
      </c>
      <c r="L31">
        <f>K80/I80</f>
        <v>0.96</v>
      </c>
    </row>
    <row r="32" spans="1:66" x14ac:dyDescent="0.2">
      <c r="D32" t="e">
        <f>D94/B94</f>
        <v>#DIV/0!</v>
      </c>
      <c r="F32">
        <f>H94/F94</f>
        <v>0.5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3.6666666666666665</v>
      </c>
      <c r="J34">
        <f>MAX(E54:E65)</f>
        <v>10</v>
      </c>
      <c r="K34">
        <f>_xlfn.STDEV.S(E54:E65)</f>
        <v>3.9848196795824875</v>
      </c>
      <c r="L34">
        <f>AVERAGE(K68:K79)</f>
        <v>4.8</v>
      </c>
      <c r="M34">
        <f>MAX(K68:K79)</f>
        <v>10</v>
      </c>
      <c r="N34">
        <f>_xlfn.STDEV.S(K68:K79)</f>
        <v>4.7644516998286379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8.3333333333333329E-2</v>
      </c>
      <c r="J37">
        <f>MAX(G54:G65)</f>
        <v>1</v>
      </c>
      <c r="K37">
        <f>_xlfn.STDEV.S(G54:G65)</f>
        <v>0.28867513459481287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8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8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0</v>
      </c>
      <c r="E55">
        <f t="shared" si="3"/>
        <v>0</v>
      </c>
      <c r="G55">
        <f t="shared" si="4"/>
        <v>1</v>
      </c>
      <c r="I55">
        <f t="shared" si="5"/>
        <v>0</v>
      </c>
      <c r="K55">
        <f t="shared" si="6"/>
        <v>4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0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0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2</v>
      </c>
      <c r="C56">
        <f t="shared" si="2"/>
        <v>0</v>
      </c>
      <c r="E56">
        <f t="shared" si="3"/>
        <v>10</v>
      </c>
      <c r="G56">
        <f t="shared" si="4"/>
        <v>0</v>
      </c>
      <c r="I56">
        <f t="shared" si="5"/>
        <v>0</v>
      </c>
      <c r="K56">
        <f t="shared" si="6"/>
        <v>12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1</v>
      </c>
      <c r="G58">
        <f t="shared" si="4"/>
        <v>0</v>
      </c>
      <c r="I58">
        <f t="shared" si="5"/>
        <v>0</v>
      </c>
      <c r="K58">
        <f t="shared" si="6"/>
        <v>5</v>
      </c>
      <c r="N58">
        <f t="shared" si="7"/>
        <v>1</v>
      </c>
      <c r="O58">
        <f t="shared" si="8"/>
        <v>1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0</v>
      </c>
      <c r="E59">
        <f t="shared" si="3"/>
        <v>4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2</v>
      </c>
      <c r="V59">
        <f t="shared" si="14"/>
        <v>1</v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2</v>
      </c>
      <c r="C60">
        <f t="shared" si="2"/>
        <v>0</v>
      </c>
      <c r="E60">
        <f t="shared" si="3"/>
        <v>5</v>
      </c>
      <c r="G60">
        <f t="shared" si="4"/>
        <v>0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4</v>
      </c>
      <c r="E62">
        <f t="shared" si="3"/>
        <v>0</v>
      </c>
      <c r="G62">
        <f t="shared" si="4"/>
        <v>0</v>
      </c>
      <c r="I62">
        <f t="shared" si="5"/>
        <v>1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0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1</v>
      </c>
      <c r="E63">
        <f t="shared" si="3"/>
        <v>7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1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10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2</v>
      </c>
      <c r="V65">
        <f t="shared" si="14"/>
        <v>1</v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1</v>
      </c>
      <c r="P66">
        <f>SUM(P54:P65)</f>
        <v>1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8</v>
      </c>
      <c r="V66">
        <f>SUM(V54:V65)</f>
        <v>5</v>
      </c>
      <c r="Y66">
        <f>SUM(Y54:Y65)</f>
        <v>8</v>
      </c>
      <c r="AA66">
        <f>SUM(AA54:AA65)</f>
        <v>6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9</v>
      </c>
      <c r="G68">
        <f>AVERAGE(E68:E79)</f>
        <v>6.166666666666667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3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1</v>
      </c>
      <c r="E70">
        <f t="shared" si="21"/>
        <v>13</v>
      </c>
      <c r="I70">
        <f t="shared" si="22"/>
        <v>10</v>
      </c>
      <c r="K70">
        <f t="shared" si="23"/>
        <v>10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0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7</v>
      </c>
      <c r="I74">
        <f t="shared" si="22"/>
        <v>5</v>
      </c>
      <c r="K74">
        <f t="shared" si="23"/>
        <v>5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1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0</v>
      </c>
      <c r="C76">
        <f t="shared" si="20"/>
        <v>1</v>
      </c>
      <c r="E76">
        <f t="shared" si="21"/>
        <v>6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9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4</v>
      </c>
      <c r="I78">
        <f t="shared" si="22"/>
        <v>0</v>
      </c>
      <c r="K78">
        <f t="shared" si="23"/>
        <v>0</v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10</v>
      </c>
      <c r="I79">
        <f t="shared" si="22"/>
        <v>10</v>
      </c>
      <c r="K79">
        <f t="shared" si="23"/>
        <v>9</v>
      </c>
    </row>
    <row r="80" spans="1:31" x14ac:dyDescent="0.2">
      <c r="H80" t="s">
        <v>168</v>
      </c>
      <c r="I80">
        <f>SUM(I68:I79)</f>
        <v>25</v>
      </c>
      <c r="K80">
        <f>SUM(K68:K79)</f>
        <v>24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>
        <f t="shared" si="26"/>
        <v>2</v>
      </c>
      <c r="H87">
        <f t="shared" si="27"/>
        <v>1</v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1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4</v>
      </c>
      <c r="H94">
        <f>SUM(H82:H93)</f>
        <v>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1:BN94"/>
  <sheetViews>
    <sheetView workbookViewId="0">
      <selection activeCell="E25" sqref="E2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10</v>
      </c>
      <c r="C4">
        <v>1</v>
      </c>
      <c r="K4">
        <v>3</v>
      </c>
      <c r="O4">
        <v>5</v>
      </c>
      <c r="P4">
        <v>3</v>
      </c>
      <c r="S4">
        <v>1</v>
      </c>
      <c r="T4">
        <v>1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18</v>
      </c>
      <c r="D5" t="s">
        <v>188</v>
      </c>
      <c r="E5">
        <v>1</v>
      </c>
      <c r="K5">
        <v>10</v>
      </c>
      <c r="L5">
        <v>8</v>
      </c>
      <c r="M5">
        <v>8</v>
      </c>
      <c r="Q5">
        <v>2</v>
      </c>
      <c r="R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29</v>
      </c>
      <c r="D6" t="s">
        <v>188</v>
      </c>
      <c r="E6">
        <v>1</v>
      </c>
      <c r="F6">
        <v>1</v>
      </c>
      <c r="J6">
        <v>1</v>
      </c>
      <c r="K6">
        <v>5</v>
      </c>
      <c r="L6">
        <v>2</v>
      </c>
      <c r="M6">
        <v>2</v>
      </c>
      <c r="O6">
        <v>5</v>
      </c>
      <c r="P6">
        <v>3</v>
      </c>
      <c r="X6">
        <v>1</v>
      </c>
    </row>
    <row r="7" spans="1:66" x14ac:dyDescent="0.2">
      <c r="A7">
        <v>4</v>
      </c>
      <c r="B7">
        <v>40</v>
      </c>
      <c r="C7">
        <v>1</v>
      </c>
      <c r="G7" t="s">
        <v>188</v>
      </c>
      <c r="H7">
        <v>1</v>
      </c>
      <c r="K7">
        <v>9</v>
      </c>
      <c r="L7">
        <v>3</v>
      </c>
      <c r="M7">
        <v>3</v>
      </c>
      <c r="O7">
        <v>2</v>
      </c>
      <c r="P7">
        <v>1</v>
      </c>
      <c r="Q7">
        <v>4</v>
      </c>
      <c r="R7">
        <v>4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49</v>
      </c>
      <c r="G8" t="s">
        <v>185</v>
      </c>
      <c r="H8">
        <v>1</v>
      </c>
      <c r="K8">
        <v>6</v>
      </c>
      <c r="O8">
        <v>5</v>
      </c>
      <c r="P8">
        <v>2</v>
      </c>
      <c r="U8">
        <v>1</v>
      </c>
      <c r="V8">
        <v>1</v>
      </c>
      <c r="W8" t="s">
        <v>189</v>
      </c>
    </row>
    <row r="9" spans="1:66" x14ac:dyDescent="0.2">
      <c r="A9">
        <v>6</v>
      </c>
      <c r="B9">
        <v>57</v>
      </c>
      <c r="D9" t="s">
        <v>185</v>
      </c>
      <c r="E9">
        <v>1</v>
      </c>
      <c r="J9">
        <v>2</v>
      </c>
      <c r="K9">
        <v>4</v>
      </c>
      <c r="O9">
        <v>6</v>
      </c>
      <c r="P9">
        <v>4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62</v>
      </c>
      <c r="D10" t="s">
        <v>185</v>
      </c>
      <c r="E10">
        <v>1</v>
      </c>
      <c r="F10">
        <v>1</v>
      </c>
      <c r="K10">
        <v>9</v>
      </c>
      <c r="L10">
        <v>5</v>
      </c>
      <c r="M10">
        <v>5</v>
      </c>
      <c r="O10">
        <v>1</v>
      </c>
      <c r="P10">
        <v>1</v>
      </c>
      <c r="Q10">
        <v>3</v>
      </c>
      <c r="R10">
        <v>2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80</v>
      </c>
      <c r="D11" t="s">
        <v>185</v>
      </c>
      <c r="E11">
        <v>1</v>
      </c>
      <c r="F11">
        <v>1</v>
      </c>
      <c r="K11">
        <v>9</v>
      </c>
      <c r="L11">
        <v>4</v>
      </c>
      <c r="M11">
        <v>4</v>
      </c>
      <c r="O11">
        <v>3</v>
      </c>
      <c r="P11">
        <v>3</v>
      </c>
      <c r="Q11">
        <v>2</v>
      </c>
      <c r="R11">
        <v>2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85</v>
      </c>
      <c r="D12" t="s">
        <v>185</v>
      </c>
      <c r="E12">
        <v>1</v>
      </c>
      <c r="F12">
        <v>1</v>
      </c>
      <c r="K12">
        <v>12</v>
      </c>
      <c r="L12">
        <v>6</v>
      </c>
      <c r="M12">
        <v>6</v>
      </c>
      <c r="O12">
        <v>2</v>
      </c>
      <c r="P12">
        <v>2</v>
      </c>
      <c r="Q12">
        <v>3</v>
      </c>
      <c r="R12">
        <v>3</v>
      </c>
      <c r="X12">
        <v>1</v>
      </c>
    </row>
    <row r="13" spans="1:66" x14ac:dyDescent="0.2">
      <c r="A13">
        <v>10</v>
      </c>
      <c r="B13">
        <v>97</v>
      </c>
      <c r="C13">
        <v>1</v>
      </c>
      <c r="G13" t="s">
        <v>188</v>
      </c>
      <c r="H13">
        <v>1</v>
      </c>
      <c r="K13">
        <v>10</v>
      </c>
      <c r="L13">
        <v>6</v>
      </c>
      <c r="M13">
        <v>6</v>
      </c>
      <c r="O13">
        <v>3</v>
      </c>
      <c r="P13">
        <v>2</v>
      </c>
      <c r="Q13">
        <v>1</v>
      </c>
      <c r="R13">
        <v>1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102</v>
      </c>
      <c r="C14">
        <v>1</v>
      </c>
      <c r="G14" t="s">
        <v>185</v>
      </c>
      <c r="H14">
        <v>1</v>
      </c>
      <c r="I14">
        <v>1</v>
      </c>
      <c r="J14">
        <v>3</v>
      </c>
      <c r="K14">
        <v>2</v>
      </c>
      <c r="O14">
        <v>4</v>
      </c>
      <c r="P14">
        <v>4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120</v>
      </c>
      <c r="D15" t="s">
        <v>188</v>
      </c>
      <c r="E15">
        <v>1</v>
      </c>
      <c r="K15">
        <v>10</v>
      </c>
      <c r="Q15">
        <v>2</v>
      </c>
      <c r="R15">
        <v>2</v>
      </c>
    </row>
    <row r="16" spans="1:66" x14ac:dyDescent="0.2">
      <c r="A16" t="s">
        <v>8</v>
      </c>
      <c r="C16">
        <f>SUM(C4:C15)</f>
        <v>4</v>
      </c>
      <c r="E16">
        <f>SUM(E4:E15)</f>
        <v>7</v>
      </c>
      <c r="F16">
        <f>SUM(F4:F15)</f>
        <v>4</v>
      </c>
      <c r="H16">
        <f t="shared" ref="H16:P16" si="0">SUM(H4:H15)</f>
        <v>4</v>
      </c>
      <c r="I16">
        <f t="shared" si="0"/>
        <v>1</v>
      </c>
      <c r="J16">
        <f t="shared" si="0"/>
        <v>6</v>
      </c>
      <c r="K16">
        <f t="shared" si="0"/>
        <v>89</v>
      </c>
      <c r="L16">
        <f t="shared" si="0"/>
        <v>34</v>
      </c>
      <c r="M16">
        <f t="shared" si="0"/>
        <v>34</v>
      </c>
      <c r="N16">
        <f t="shared" si="0"/>
        <v>0</v>
      </c>
      <c r="O16">
        <f t="shared" si="0"/>
        <v>36</v>
      </c>
      <c r="P16">
        <f t="shared" si="0"/>
        <v>25</v>
      </c>
      <c r="Q16">
        <f>SUM(Q4:Q15)</f>
        <v>17</v>
      </c>
      <c r="R16">
        <f>SUM(R4:R15)</f>
        <v>16</v>
      </c>
      <c r="S16">
        <f>SUM(S4:S15)</f>
        <v>4</v>
      </c>
      <c r="T16">
        <v>0</v>
      </c>
      <c r="U16">
        <f>SUM(U4:U15)</f>
        <v>6</v>
      </c>
      <c r="V16">
        <f>SUM(V4:V15)</f>
        <v>5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0.5714285714285714</v>
      </c>
      <c r="F20">
        <f>COUNT(I4:I15)/COUNT(H4:H15)</f>
        <v>0.25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0.69444444444444442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0.75</v>
      </c>
      <c r="F22">
        <f>T66/S66</f>
        <v>0.5</v>
      </c>
      <c r="I22" t="s">
        <v>23</v>
      </c>
      <c r="N22">
        <f>AVERAGE(I54:I65)</f>
        <v>0.5</v>
      </c>
      <c r="O22">
        <f>MEDIAN(I54:I65)</f>
        <v>0</v>
      </c>
      <c r="P22">
        <f>MAX(I54:I65)</f>
        <v>3</v>
      </c>
      <c r="Q22">
        <f>_xlfn.STDEV.S(I54:I65)</f>
        <v>1</v>
      </c>
      <c r="S22">
        <f>V16/U16</f>
        <v>0.83333333333333337</v>
      </c>
      <c r="U22">
        <f>AA66/Y66</f>
        <v>0.8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0.33333333333333331</v>
      </c>
      <c r="F24">
        <f>V66/U66</f>
        <v>0</v>
      </c>
      <c r="I24">
        <f>AVERAGE(A54:A65)</f>
        <v>2.0833333333333335</v>
      </c>
      <c r="J24">
        <f>MAX(A54:A65)</f>
        <v>4</v>
      </c>
      <c r="K24">
        <f>_xlfn.STDEV.S(A54:A65)</f>
        <v>1.378954368902449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0.41666666666666669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7.416666666666667</v>
      </c>
      <c r="O25">
        <f>MEDIAN(K54:K65)</f>
        <v>9</v>
      </c>
      <c r="P25">
        <f>MAX(K54:K65)</f>
        <v>12</v>
      </c>
      <c r="Q25">
        <f>_xlfn.STDEV.S(K54:K65)</f>
        <v>3.2601821849074439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0.33333333333333331</v>
      </c>
      <c r="F26">
        <f>I16/A19</f>
        <v>8.3333333333333329E-2</v>
      </c>
      <c r="I26">
        <f>R16/Q16</f>
        <v>0.94117647058823528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6.3157894736842107E-2</v>
      </c>
    </row>
    <row r="29" spans="1:66" x14ac:dyDescent="0.2">
      <c r="D29">
        <f>_xlfn.STDEV.S(A68:A79)</f>
        <v>0.5</v>
      </c>
      <c r="I29">
        <f>AVERAGE(C54:C65)</f>
        <v>1.3333333333333333</v>
      </c>
      <c r="J29">
        <f>MAX(C54:C65)</f>
        <v>4</v>
      </c>
      <c r="K29">
        <f>_xlfn.STDEV.S(C54:C65)</f>
        <v>1.3706888336846839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0.93684210526315792</v>
      </c>
      <c r="S30">
        <f>_xlfn.STDEV.S(C68:C79)</f>
        <v>0.51492865054443726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2.8333333333333335</v>
      </c>
      <c r="J34">
        <f>MAX(E54:E65)</f>
        <v>8</v>
      </c>
      <c r="K34">
        <f>_xlfn.STDEV.S(E54:E65)</f>
        <v>2.9180732539042804</v>
      </c>
      <c r="L34">
        <f>AVERAGE(K68:K79)</f>
        <v>2.25</v>
      </c>
      <c r="M34">
        <f>MAX(K68:K79)</f>
        <v>6</v>
      </c>
      <c r="N34">
        <f>_xlfn.STDEV.S(K68:K79)</f>
        <v>2.8722813232690143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</v>
      </c>
      <c r="J37">
        <f>MAX(G54:G65)</f>
        <v>0</v>
      </c>
      <c r="K37">
        <f>_xlfn.STDEV.S(G54:G65)</f>
        <v>0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3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2</v>
      </c>
      <c r="E55">
        <f t="shared" si="3"/>
        <v>8</v>
      </c>
      <c r="G55">
        <f t="shared" si="4"/>
        <v>0</v>
      </c>
      <c r="I55">
        <f t="shared" si="5"/>
        <v>0</v>
      </c>
      <c r="K55">
        <f t="shared" si="6"/>
        <v>10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0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2</v>
      </c>
      <c r="G56">
        <f t="shared" si="4"/>
        <v>0</v>
      </c>
      <c r="I56">
        <f t="shared" si="5"/>
        <v>1</v>
      </c>
      <c r="K56">
        <f t="shared" si="6"/>
        <v>5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1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4</v>
      </c>
      <c r="E57">
        <f t="shared" si="3"/>
        <v>3</v>
      </c>
      <c r="G57">
        <f t="shared" si="4"/>
        <v>0</v>
      </c>
      <c r="I57">
        <f t="shared" si="5"/>
        <v>0</v>
      </c>
      <c r="K57">
        <f t="shared" si="6"/>
        <v>9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0</v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2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6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0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>
        <f t="shared" si="17"/>
        <v>1</v>
      </c>
      <c r="AE58">
        <f t="shared" si="18"/>
        <v>1</v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2</v>
      </c>
      <c r="K59">
        <f t="shared" si="6"/>
        <v>4</v>
      </c>
      <c r="N59">
        <f t="shared" si="7"/>
        <v>1</v>
      </c>
      <c r="O59">
        <f t="shared" si="8"/>
        <v>0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2</v>
      </c>
      <c r="E60">
        <f t="shared" si="3"/>
        <v>5</v>
      </c>
      <c r="G60">
        <f t="shared" si="4"/>
        <v>0</v>
      </c>
      <c r="I60">
        <f t="shared" si="5"/>
        <v>0</v>
      </c>
      <c r="K60">
        <f t="shared" si="6"/>
        <v>9</v>
      </c>
      <c r="N60">
        <f t="shared" si="7"/>
        <v>1</v>
      </c>
      <c r="O60">
        <f t="shared" si="8"/>
        <v>1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2</v>
      </c>
      <c r="E61">
        <f t="shared" si="3"/>
        <v>4</v>
      </c>
      <c r="G61">
        <f t="shared" si="4"/>
        <v>0</v>
      </c>
      <c r="I61">
        <f t="shared" si="5"/>
        <v>0</v>
      </c>
      <c r="K61">
        <f t="shared" si="6"/>
        <v>9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3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12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1</v>
      </c>
      <c r="E63">
        <f t="shared" si="3"/>
        <v>6</v>
      </c>
      <c r="G63">
        <f t="shared" si="4"/>
        <v>0</v>
      </c>
      <c r="I63">
        <f t="shared" si="5"/>
        <v>0</v>
      </c>
      <c r="K63">
        <f t="shared" si="6"/>
        <v>10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0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3</v>
      </c>
      <c r="K64">
        <f t="shared" si="6"/>
        <v>2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2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10</v>
      </c>
      <c r="N65" t="str">
        <f t="shared" si="7"/>
        <v/>
      </c>
      <c r="O65" t="str">
        <f t="shared" si="8"/>
        <v/>
      </c>
      <c r="P65">
        <f t="shared" si="9"/>
        <v>1</v>
      </c>
      <c r="Q65">
        <f t="shared" si="10"/>
        <v>0</v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4</v>
      </c>
      <c r="O66">
        <f>SUM(O54:O65)</f>
        <v>3</v>
      </c>
      <c r="P66">
        <f>SUM(P54:P65)</f>
        <v>3</v>
      </c>
      <c r="Q66">
        <f>SUM(Q54:Q65)</f>
        <v>1</v>
      </c>
      <c r="S66">
        <f>SUM(S54:S65)</f>
        <v>2</v>
      </c>
      <c r="T66">
        <f>SUM(T54:T65)</f>
        <v>1</v>
      </c>
      <c r="U66">
        <f>SUM(U54:U65)</f>
        <v>2</v>
      </c>
      <c r="V66">
        <f>SUM(V54:V65)</f>
        <v>0</v>
      </c>
      <c r="Y66">
        <f>SUM(Y54:Y65)</f>
        <v>5</v>
      </c>
      <c r="AA66">
        <f>SUM(AA54:AA65)</f>
        <v>4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3</v>
      </c>
      <c r="G68">
        <f>AVERAGE(E68:E79)</f>
        <v>6.666666666666667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10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6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0</v>
      </c>
      <c r="C71">
        <f t="shared" si="20"/>
        <v>1</v>
      </c>
      <c r="E71">
        <f t="shared" si="21"/>
        <v>8</v>
      </c>
      <c r="I71">
        <f t="shared" si="22"/>
        <v>3</v>
      </c>
      <c r="K71">
        <f t="shared" si="23"/>
        <v>3</v>
      </c>
    </row>
    <row r="72" spans="1:31" x14ac:dyDescent="0.2">
      <c r="A72">
        <f t="shared" si="19"/>
        <v>0</v>
      </c>
      <c r="C72">
        <f t="shared" si="20"/>
        <v>1</v>
      </c>
      <c r="E72">
        <f t="shared" si="21"/>
        <v>2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4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9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10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12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0</v>
      </c>
      <c r="C77">
        <f t="shared" si="20"/>
        <v>0</v>
      </c>
      <c r="E77">
        <f t="shared" si="21"/>
        <v>9</v>
      </c>
      <c r="I77">
        <f t="shared" si="22"/>
        <v>6</v>
      </c>
      <c r="K77">
        <f t="shared" si="23"/>
        <v>6</v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5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2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9</v>
      </c>
      <c r="K80">
        <f>SUM(K68:K79)</f>
        <v>9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D4" t="s">
        <v>185</v>
      </c>
      <c r="E4">
        <v>3</v>
      </c>
      <c r="F4">
        <v>2</v>
      </c>
      <c r="J4">
        <v>3</v>
      </c>
      <c r="K4">
        <v>4</v>
      </c>
      <c r="N4">
        <v>5</v>
      </c>
      <c r="O4">
        <v>1</v>
      </c>
      <c r="P4">
        <v>1</v>
      </c>
      <c r="U4">
        <v>1</v>
      </c>
      <c r="V4">
        <v>1</v>
      </c>
      <c r="W4" t="s">
        <v>186</v>
      </c>
      <c r="X4">
        <v>1</v>
      </c>
    </row>
    <row r="5" spans="1:66" x14ac:dyDescent="0.2">
      <c r="A5">
        <v>2</v>
      </c>
      <c r="B5">
        <v>13</v>
      </c>
      <c r="D5" t="s">
        <v>188</v>
      </c>
      <c r="E5">
        <v>1</v>
      </c>
      <c r="F5">
        <v>1</v>
      </c>
      <c r="K5">
        <v>8</v>
      </c>
      <c r="L5">
        <v>7</v>
      </c>
      <c r="M5">
        <v>7</v>
      </c>
      <c r="O5">
        <v>1</v>
      </c>
      <c r="P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23</v>
      </c>
      <c r="D6" t="s">
        <v>185</v>
      </c>
      <c r="E6">
        <v>1</v>
      </c>
      <c r="F6">
        <v>1</v>
      </c>
      <c r="K6">
        <v>10</v>
      </c>
      <c r="N6">
        <v>3</v>
      </c>
      <c r="O6">
        <v>5</v>
      </c>
      <c r="P6">
        <v>5</v>
      </c>
      <c r="Q6">
        <v>2</v>
      </c>
      <c r="R6">
        <v>2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40</v>
      </c>
      <c r="D7" t="s">
        <v>185</v>
      </c>
      <c r="E7">
        <v>2</v>
      </c>
      <c r="F7">
        <v>2</v>
      </c>
      <c r="J7">
        <v>3</v>
      </c>
      <c r="K7">
        <v>6</v>
      </c>
      <c r="N7">
        <v>6</v>
      </c>
      <c r="O7">
        <v>1</v>
      </c>
      <c r="P7">
        <v>1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45</v>
      </c>
      <c r="D8" t="s">
        <v>185</v>
      </c>
      <c r="E8">
        <v>3</v>
      </c>
      <c r="F8">
        <v>2</v>
      </c>
      <c r="K8">
        <v>8</v>
      </c>
      <c r="L8">
        <v>4</v>
      </c>
      <c r="M8">
        <v>4</v>
      </c>
      <c r="O8">
        <v>1</v>
      </c>
      <c r="P8">
        <v>1</v>
      </c>
      <c r="Q8">
        <v>3</v>
      </c>
      <c r="R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55</v>
      </c>
      <c r="C9">
        <v>1</v>
      </c>
      <c r="D9" t="s">
        <v>188</v>
      </c>
      <c r="E9">
        <v>2</v>
      </c>
      <c r="F9">
        <v>2</v>
      </c>
      <c r="J9">
        <v>2</v>
      </c>
      <c r="K9">
        <v>7</v>
      </c>
      <c r="N9">
        <v>3</v>
      </c>
      <c r="O9">
        <v>6</v>
      </c>
      <c r="P9">
        <v>3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65</v>
      </c>
      <c r="D10" t="s">
        <v>188</v>
      </c>
      <c r="E10">
        <v>2</v>
      </c>
      <c r="F10">
        <v>1</v>
      </c>
      <c r="J10">
        <v>5</v>
      </c>
      <c r="K10">
        <v>5</v>
      </c>
      <c r="L10">
        <v>1</v>
      </c>
      <c r="M10">
        <v>1</v>
      </c>
      <c r="N10">
        <v>6</v>
      </c>
      <c r="O10">
        <v>3</v>
      </c>
      <c r="P10">
        <v>3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99</v>
      </c>
      <c r="C11">
        <v>1</v>
      </c>
      <c r="D11" t="s">
        <v>188</v>
      </c>
      <c r="E11">
        <v>2</v>
      </c>
      <c r="F11">
        <v>2</v>
      </c>
      <c r="K11">
        <v>11</v>
      </c>
      <c r="L11">
        <v>4</v>
      </c>
      <c r="M11">
        <v>4</v>
      </c>
      <c r="O11">
        <v>5</v>
      </c>
      <c r="P11">
        <v>5</v>
      </c>
      <c r="Q11">
        <v>2</v>
      </c>
      <c r="R11">
        <v>2</v>
      </c>
      <c r="U11">
        <v>1</v>
      </c>
      <c r="V11">
        <v>1</v>
      </c>
      <c r="W11" t="s">
        <v>189</v>
      </c>
    </row>
    <row r="12" spans="1:66" x14ac:dyDescent="0.2">
      <c r="A12">
        <v>9</v>
      </c>
      <c r="B12">
        <v>109</v>
      </c>
      <c r="D12" t="s">
        <v>185</v>
      </c>
      <c r="E12">
        <v>3</v>
      </c>
      <c r="F12">
        <v>2</v>
      </c>
      <c r="K12">
        <v>7</v>
      </c>
      <c r="L12">
        <v>6</v>
      </c>
      <c r="M12">
        <v>6</v>
      </c>
      <c r="Q12">
        <v>1</v>
      </c>
      <c r="R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119</v>
      </c>
      <c r="D13" t="s">
        <v>185</v>
      </c>
      <c r="E13">
        <v>3</v>
      </c>
      <c r="F13">
        <v>3</v>
      </c>
      <c r="J13">
        <v>3</v>
      </c>
      <c r="K13">
        <v>4</v>
      </c>
      <c r="N13">
        <v>7</v>
      </c>
      <c r="U13">
        <v>1</v>
      </c>
      <c r="V13">
        <v>1</v>
      </c>
      <c r="W13" t="s">
        <v>186</v>
      </c>
    </row>
    <row r="14" spans="1:66" x14ac:dyDescent="0.2">
      <c r="A14">
        <v>11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2</v>
      </c>
      <c r="E16">
        <f>SUM(E4:E15)</f>
        <v>22</v>
      </c>
      <c r="F16">
        <f>SUM(F4:F15)</f>
        <v>18</v>
      </c>
      <c r="H16">
        <f t="shared" ref="H16:P16" si="0">SUM(H4:H15)</f>
        <v>0</v>
      </c>
      <c r="I16">
        <f t="shared" si="0"/>
        <v>0</v>
      </c>
      <c r="J16">
        <f t="shared" si="0"/>
        <v>16</v>
      </c>
      <c r="K16">
        <f t="shared" si="0"/>
        <v>70</v>
      </c>
      <c r="L16">
        <f t="shared" si="0"/>
        <v>22</v>
      </c>
      <c r="M16">
        <f t="shared" si="0"/>
        <v>22</v>
      </c>
      <c r="N16">
        <f t="shared" si="0"/>
        <v>30</v>
      </c>
      <c r="O16">
        <f t="shared" si="0"/>
        <v>23</v>
      </c>
      <c r="P16">
        <f t="shared" si="0"/>
        <v>20</v>
      </c>
      <c r="Q16">
        <f>SUM(Q4:Q15)</f>
        <v>8</v>
      </c>
      <c r="R16">
        <f>SUM(R4:R15)</f>
        <v>8</v>
      </c>
      <c r="S16">
        <f>SUM(S4:S15)</f>
        <v>1</v>
      </c>
      <c r="T16">
        <v>0</v>
      </c>
      <c r="U16">
        <f>SUM(U4:U15)</f>
        <v>9</v>
      </c>
      <c r="V16">
        <f>SUM(V4:V15)</f>
        <v>9</v>
      </c>
      <c r="W16">
        <f>SUM(W4:W15)</f>
        <v>0</v>
      </c>
      <c r="X16">
        <f>SUM(X4:X15)</f>
        <v>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10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 t="e">
        <f>COUNT(I4:I15)/COUNT(H4:H15)</f>
        <v>#DIV/0!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0.86956521739130432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0.8</v>
      </c>
      <c r="F22" t="e">
        <f>T66/S66</f>
        <v>#DIV/0!</v>
      </c>
      <c r="I22" t="s">
        <v>23</v>
      </c>
      <c r="N22">
        <f>AVERAGE(I54:I65)</f>
        <v>1.6</v>
      </c>
      <c r="O22">
        <f>MEDIAN(I54:I65)</f>
        <v>1</v>
      </c>
      <c r="P22">
        <f>MAX(I54:I65)</f>
        <v>5</v>
      </c>
      <c r="Q22">
        <f>_xlfn.STDEV.S(I54:I65)</f>
        <v>1.837873166945363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0.8571428571428571</v>
      </c>
      <c r="F24" t="e">
        <f>V66/U66</f>
        <v>#DIV/0!</v>
      </c>
      <c r="I24">
        <f>AVERAGE(A54:A65)</f>
        <v>2</v>
      </c>
      <c r="J24">
        <f>MAX(A54:A65)</f>
        <v>5</v>
      </c>
      <c r="K24">
        <f>_xlfn.STDEV.S(A54:A65)</f>
        <v>1.8856180831641267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0.9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</v>
      </c>
      <c r="O25">
        <f>MEDIAN(K54:K65)</f>
        <v>7</v>
      </c>
      <c r="P25">
        <f>MAX(K54:K65)</f>
        <v>11</v>
      </c>
      <c r="Q25">
        <f>_xlfn.STDEV.S(K54:K65)</f>
        <v>2.3570226039551585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1.8</v>
      </c>
      <c r="F26">
        <f>I16/A19</f>
        <v>0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0.18604651162790697</v>
      </c>
    </row>
    <row r="29" spans="1:66" x14ac:dyDescent="0.2">
      <c r="D29" t="e">
        <f>_xlfn.STDEV.S(A68:A79)</f>
        <v>#DIV/0!</v>
      </c>
      <c r="I29">
        <f>AVERAGE(C54:C65)</f>
        <v>0.8</v>
      </c>
      <c r="J29">
        <f>MAX(C54:C65)</f>
        <v>3</v>
      </c>
      <c r="K29">
        <f>_xlfn.STDEV.S(C54:C65)</f>
        <v>1.1352924243950933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0.81395348837209303</v>
      </c>
      <c r="S30">
        <f>_xlfn.STDEV.S(C68:C79)</f>
        <v>0.316227766016838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>
        <f>D94/B94</f>
        <v>0.9375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2.2000000000000002</v>
      </c>
      <c r="J34">
        <f>MAX(E54:E65)</f>
        <v>7</v>
      </c>
      <c r="K34">
        <f>_xlfn.STDEV.S(E54:E65)</f>
        <v>2.780887148615228</v>
      </c>
      <c r="L34">
        <f>AVERAGE(K68:K79)</f>
        <v>2</v>
      </c>
      <c r="M34">
        <f>MAX(K68:K79)</f>
        <v>4</v>
      </c>
      <c r="N34">
        <f>_xlfn.STDEV.S(K68:K79)</f>
        <v>2.8284271247461903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3</v>
      </c>
      <c r="J37">
        <f>MAX(G54:G65)</f>
        <v>7</v>
      </c>
      <c r="K37">
        <f>_xlfn.STDEV.S(G54:G65)</f>
        <v>2.8674417556808756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5</v>
      </c>
      <c r="I54">
        <f t="shared" ref="I54:I65" si="5">IF(ISBLANK(B4),"",J4)</f>
        <v>3</v>
      </c>
      <c r="K54">
        <f t="shared" ref="K54:K65" si="6">IF(ISBLANK(B4),"",K4)</f>
        <v>4</v>
      </c>
      <c r="N54">
        <f t="shared" ref="N54:N65" si="7">IF($D4="d", $E4, "")</f>
        <v>3</v>
      </c>
      <c r="O54">
        <f t="shared" ref="O54:O65" si="8">IF($D4="d", $F4, "")</f>
        <v>2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7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1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5</v>
      </c>
      <c r="C56">
        <f t="shared" si="2"/>
        <v>2</v>
      </c>
      <c r="E56">
        <f t="shared" si="3"/>
        <v>0</v>
      </c>
      <c r="G56">
        <f t="shared" si="4"/>
        <v>3</v>
      </c>
      <c r="I56">
        <f t="shared" si="5"/>
        <v>0</v>
      </c>
      <c r="K56">
        <f t="shared" si="6"/>
        <v>10</v>
      </c>
      <c r="N56">
        <f t="shared" si="7"/>
        <v>1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0</v>
      </c>
      <c r="E57">
        <f t="shared" si="3"/>
        <v>0</v>
      </c>
      <c r="G57">
        <f t="shared" si="4"/>
        <v>6</v>
      </c>
      <c r="I57">
        <f t="shared" si="5"/>
        <v>3</v>
      </c>
      <c r="K57">
        <f t="shared" si="6"/>
        <v>6</v>
      </c>
      <c r="N57">
        <f t="shared" si="7"/>
        <v>2</v>
      </c>
      <c r="O57">
        <f t="shared" si="8"/>
        <v>2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1</v>
      </c>
      <c r="C58">
        <f t="shared" si="2"/>
        <v>3</v>
      </c>
      <c r="E58">
        <f t="shared" si="3"/>
        <v>4</v>
      </c>
      <c r="G58">
        <f t="shared" si="4"/>
        <v>0</v>
      </c>
      <c r="I58">
        <f t="shared" si="5"/>
        <v>0</v>
      </c>
      <c r="K58">
        <f t="shared" si="6"/>
        <v>8</v>
      </c>
      <c r="N58">
        <f t="shared" si="7"/>
        <v>3</v>
      </c>
      <c r="O58">
        <f t="shared" si="8"/>
        <v>2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0</v>
      </c>
      <c r="E59">
        <f t="shared" si="3"/>
        <v>0</v>
      </c>
      <c r="G59">
        <f t="shared" si="4"/>
        <v>3</v>
      </c>
      <c r="I59">
        <f t="shared" si="5"/>
        <v>2</v>
      </c>
      <c r="K59">
        <f t="shared" si="6"/>
        <v>7</v>
      </c>
      <c r="N59" t="str">
        <f t="shared" si="7"/>
        <v/>
      </c>
      <c r="O59" t="str">
        <f t="shared" si="8"/>
        <v/>
      </c>
      <c r="P59">
        <f t="shared" si="9"/>
        <v>2</v>
      </c>
      <c r="Q59">
        <f t="shared" si="10"/>
        <v>2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1</v>
      </c>
      <c r="G60">
        <f t="shared" si="4"/>
        <v>6</v>
      </c>
      <c r="I60">
        <f t="shared" si="5"/>
        <v>5</v>
      </c>
      <c r="K60">
        <f t="shared" si="6"/>
        <v>5</v>
      </c>
      <c r="N60" t="str">
        <f t="shared" si="7"/>
        <v/>
      </c>
      <c r="O60" t="str">
        <f t="shared" si="8"/>
        <v/>
      </c>
      <c r="P60">
        <f t="shared" si="9"/>
        <v>2</v>
      </c>
      <c r="Q60">
        <f t="shared" si="10"/>
        <v>1</v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5</v>
      </c>
      <c r="C61">
        <f t="shared" si="2"/>
        <v>2</v>
      </c>
      <c r="E61">
        <f t="shared" si="3"/>
        <v>4</v>
      </c>
      <c r="G61">
        <f t="shared" si="4"/>
        <v>0</v>
      </c>
      <c r="I61">
        <f t="shared" si="5"/>
        <v>0</v>
      </c>
      <c r="K61">
        <f t="shared" si="6"/>
        <v>11</v>
      </c>
      <c r="N61" t="str">
        <f t="shared" si="7"/>
        <v/>
      </c>
      <c r="O61" t="str">
        <f t="shared" si="8"/>
        <v/>
      </c>
      <c r="P61">
        <f t="shared" si="9"/>
        <v>2</v>
      </c>
      <c r="Q61">
        <f t="shared" si="10"/>
        <v>2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>
        <f t="shared" si="17"/>
        <v>1</v>
      </c>
      <c r="AE61">
        <f t="shared" si="18"/>
        <v>1</v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7</v>
      </c>
      <c r="N62">
        <f t="shared" si="7"/>
        <v>3</v>
      </c>
      <c r="O62">
        <f t="shared" si="8"/>
        <v>2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0</v>
      </c>
      <c r="G63">
        <f t="shared" si="4"/>
        <v>7</v>
      </c>
      <c r="I63">
        <f t="shared" si="5"/>
        <v>3</v>
      </c>
      <c r="K63">
        <f t="shared" si="6"/>
        <v>4</v>
      </c>
      <c r="N63">
        <f t="shared" si="7"/>
        <v>3</v>
      </c>
      <c r="O63">
        <f t="shared" si="8"/>
        <v>3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 t="str">
        <f t="shared" si="1"/>
        <v/>
      </c>
      <c r="C64" t="str">
        <f t="shared" si="2"/>
        <v/>
      </c>
      <c r="E64" t="str">
        <f t="shared" si="3"/>
        <v/>
      </c>
      <c r="G64" t="str">
        <f t="shared" si="4"/>
        <v/>
      </c>
      <c r="I64" t="str">
        <f t="shared" si="5"/>
        <v/>
      </c>
      <c r="K64" t="str">
        <f t="shared" si="6"/>
        <v/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15</v>
      </c>
      <c r="O66">
        <f>SUM(O54:O65)</f>
        <v>12</v>
      </c>
      <c r="P66">
        <f>SUM(P54:P65)</f>
        <v>7</v>
      </c>
      <c r="Q66">
        <f>SUM(Q54:Q65)</f>
        <v>6</v>
      </c>
      <c r="S66">
        <f>SUM(S54:S65)</f>
        <v>0</v>
      </c>
      <c r="T66">
        <f>SUM(T54:T65)</f>
        <v>0</v>
      </c>
      <c r="U66">
        <f>SUM(U54:U65)</f>
        <v>0</v>
      </c>
      <c r="V66">
        <f>SUM(V54:V65)</f>
        <v>0</v>
      </c>
      <c r="Y66">
        <f>SUM(Y54:Y65)</f>
        <v>8</v>
      </c>
      <c r="AA66">
        <f>SUM(AA54:AA65)</f>
        <v>8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3</v>
      </c>
      <c r="G68">
        <f>AVERAGE(E68:E79)</f>
        <v>6.8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9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8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3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10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5</v>
      </c>
      <c r="I73">
        <f t="shared" si="22"/>
        <v>0</v>
      </c>
      <c r="K73">
        <f t="shared" si="23"/>
        <v>0</v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13</v>
      </c>
      <c r="I75">
        <f t="shared" si="22"/>
        <v>4</v>
      </c>
      <c r="K75">
        <f t="shared" si="23"/>
        <v>4</v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 t="str">
        <f t="shared" si="20"/>
        <v/>
      </c>
      <c r="E78" t="str">
        <f t="shared" si="21"/>
        <v/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4</v>
      </c>
      <c r="K80">
        <f>SUM(K68:K79)</f>
        <v>4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>
        <f>IF(E4 &gt;= 2, 2, "")</f>
        <v>2</v>
      </c>
      <c r="D82">
        <f>IF(E4 &gt;= 2, IF(F4 &gt; 2, 2, F4), "")</f>
        <v>2</v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>
        <f t="shared" si="24"/>
        <v>2</v>
      </c>
      <c r="D85">
        <f t="shared" si="25"/>
        <v>2</v>
      </c>
      <c r="F85" t="str">
        <f t="shared" si="26"/>
        <v/>
      </c>
      <c r="H85" t="str">
        <f t="shared" si="27"/>
        <v/>
      </c>
    </row>
    <row r="86" spans="1:8" x14ac:dyDescent="0.2">
      <c r="B86">
        <f t="shared" si="24"/>
        <v>2</v>
      </c>
      <c r="D86">
        <f t="shared" si="25"/>
        <v>2</v>
      </c>
      <c r="F86" t="str">
        <f t="shared" si="26"/>
        <v/>
      </c>
      <c r="H86" t="str">
        <f t="shared" si="27"/>
        <v/>
      </c>
    </row>
    <row r="87" spans="1:8" x14ac:dyDescent="0.2">
      <c r="B87">
        <f t="shared" si="24"/>
        <v>2</v>
      </c>
      <c r="D87">
        <f t="shared" si="25"/>
        <v>2</v>
      </c>
      <c r="F87" t="str">
        <f t="shared" si="26"/>
        <v/>
      </c>
      <c r="H87" t="str">
        <f t="shared" si="27"/>
        <v/>
      </c>
    </row>
    <row r="88" spans="1:8" x14ac:dyDescent="0.2">
      <c r="B88">
        <f t="shared" si="24"/>
        <v>2</v>
      </c>
      <c r="D88">
        <f t="shared" si="25"/>
        <v>1</v>
      </c>
      <c r="F88" t="str">
        <f t="shared" si="26"/>
        <v/>
      </c>
      <c r="H88" t="str">
        <f t="shared" si="27"/>
        <v/>
      </c>
    </row>
    <row r="89" spans="1:8" x14ac:dyDescent="0.2">
      <c r="B89">
        <f t="shared" si="24"/>
        <v>2</v>
      </c>
      <c r="D89">
        <f t="shared" si="25"/>
        <v>2</v>
      </c>
      <c r="F89" t="str">
        <f t="shared" si="26"/>
        <v/>
      </c>
      <c r="H89" t="str">
        <f t="shared" si="27"/>
        <v/>
      </c>
    </row>
    <row r="90" spans="1:8" x14ac:dyDescent="0.2">
      <c r="B90">
        <f t="shared" si="24"/>
        <v>2</v>
      </c>
      <c r="D90">
        <f t="shared" si="25"/>
        <v>2</v>
      </c>
      <c r="F90" t="str">
        <f t="shared" si="26"/>
        <v/>
      </c>
      <c r="H90" t="str">
        <f t="shared" si="27"/>
        <v/>
      </c>
    </row>
    <row r="91" spans="1:8" x14ac:dyDescent="0.2">
      <c r="B91">
        <f t="shared" si="24"/>
        <v>2</v>
      </c>
      <c r="D91">
        <f t="shared" si="25"/>
        <v>2</v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16</v>
      </c>
      <c r="D94">
        <f>SUM(D82:D93)</f>
        <v>15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G4" t="s">
        <v>188</v>
      </c>
      <c r="H4">
        <v>1</v>
      </c>
      <c r="I4">
        <v>1</v>
      </c>
      <c r="K4">
        <v>9</v>
      </c>
      <c r="L4">
        <v>5</v>
      </c>
      <c r="M4">
        <v>5</v>
      </c>
      <c r="Q4">
        <v>4</v>
      </c>
      <c r="R4">
        <v>4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15</v>
      </c>
      <c r="D5" t="s">
        <v>185</v>
      </c>
      <c r="E5">
        <v>1</v>
      </c>
      <c r="F5">
        <v>1</v>
      </c>
      <c r="K5">
        <v>4</v>
      </c>
      <c r="L5">
        <v>1</v>
      </c>
      <c r="M5">
        <v>1</v>
      </c>
      <c r="O5">
        <v>3</v>
      </c>
      <c r="P5">
        <v>2</v>
      </c>
      <c r="S5">
        <v>1</v>
      </c>
      <c r="T5">
        <v>1</v>
      </c>
    </row>
    <row r="6" spans="1:66" x14ac:dyDescent="0.2">
      <c r="A6">
        <v>3</v>
      </c>
      <c r="B6">
        <v>27</v>
      </c>
      <c r="G6" t="s">
        <v>185</v>
      </c>
      <c r="H6">
        <v>1</v>
      </c>
      <c r="J6">
        <v>1</v>
      </c>
      <c r="K6">
        <v>2</v>
      </c>
      <c r="L6">
        <v>1</v>
      </c>
      <c r="M6">
        <v>1</v>
      </c>
      <c r="O6">
        <v>2</v>
      </c>
      <c r="P6">
        <v>1</v>
      </c>
      <c r="Q6">
        <v>1</v>
      </c>
      <c r="R6">
        <v>1</v>
      </c>
      <c r="U6">
        <v>1</v>
      </c>
      <c r="V6">
        <v>1</v>
      </c>
      <c r="W6" t="s">
        <v>186</v>
      </c>
      <c r="Y6">
        <v>1</v>
      </c>
    </row>
    <row r="7" spans="1:66" x14ac:dyDescent="0.2">
      <c r="A7">
        <v>4</v>
      </c>
      <c r="B7">
        <v>39</v>
      </c>
      <c r="C7">
        <v>1</v>
      </c>
      <c r="G7" t="s">
        <v>188</v>
      </c>
      <c r="H7">
        <v>1</v>
      </c>
      <c r="I7">
        <v>1</v>
      </c>
      <c r="J7">
        <v>1</v>
      </c>
      <c r="K7">
        <v>5</v>
      </c>
      <c r="N7">
        <v>4</v>
      </c>
      <c r="O7">
        <v>1</v>
      </c>
      <c r="P7">
        <v>1</v>
      </c>
      <c r="U7">
        <v>1</v>
      </c>
      <c r="V7">
        <v>1</v>
      </c>
      <c r="W7" t="s">
        <v>186</v>
      </c>
      <c r="Y7">
        <v>1</v>
      </c>
    </row>
    <row r="8" spans="1:66" x14ac:dyDescent="0.2">
      <c r="A8">
        <v>5</v>
      </c>
      <c r="B8">
        <v>44</v>
      </c>
      <c r="G8" t="s">
        <v>188</v>
      </c>
      <c r="H8">
        <v>1</v>
      </c>
      <c r="J8">
        <v>2</v>
      </c>
      <c r="K8">
        <v>4</v>
      </c>
      <c r="N8">
        <v>5</v>
      </c>
      <c r="Q8">
        <v>1</v>
      </c>
      <c r="R8">
        <v>1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51</v>
      </c>
      <c r="C9">
        <v>1</v>
      </c>
      <c r="K9">
        <v>6</v>
      </c>
      <c r="L9">
        <v>6</v>
      </c>
      <c r="M9">
        <v>6</v>
      </c>
      <c r="Q9">
        <v>1</v>
      </c>
      <c r="R9">
        <v>1</v>
      </c>
      <c r="U9">
        <v>1</v>
      </c>
      <c r="V9">
        <v>1</v>
      </c>
      <c r="W9" t="s">
        <v>186</v>
      </c>
      <c r="Y9">
        <v>1</v>
      </c>
    </row>
    <row r="10" spans="1:66" x14ac:dyDescent="0.2">
      <c r="A10">
        <v>7</v>
      </c>
      <c r="B10">
        <v>63</v>
      </c>
      <c r="C10">
        <v>1</v>
      </c>
      <c r="G10" t="s">
        <v>188</v>
      </c>
      <c r="H10">
        <v>1</v>
      </c>
      <c r="I10">
        <v>1</v>
      </c>
      <c r="K10">
        <v>7</v>
      </c>
      <c r="L10">
        <v>6</v>
      </c>
      <c r="M10">
        <v>6</v>
      </c>
      <c r="Q10">
        <v>1</v>
      </c>
      <c r="R10">
        <v>1</v>
      </c>
      <c r="U10">
        <v>1</v>
      </c>
      <c r="V10">
        <v>1</v>
      </c>
      <c r="W10" t="s">
        <v>186</v>
      </c>
      <c r="Y10">
        <v>1</v>
      </c>
    </row>
    <row r="11" spans="1:66" x14ac:dyDescent="0.2">
      <c r="A11">
        <v>8</v>
      </c>
      <c r="B11">
        <v>75</v>
      </c>
      <c r="C11">
        <v>1</v>
      </c>
      <c r="G11" t="s">
        <v>188</v>
      </c>
      <c r="H11">
        <v>1</v>
      </c>
      <c r="I11">
        <v>1</v>
      </c>
      <c r="K11">
        <v>9</v>
      </c>
      <c r="L11">
        <v>5</v>
      </c>
      <c r="M11">
        <v>5</v>
      </c>
      <c r="Q11">
        <v>3</v>
      </c>
      <c r="R11">
        <v>3</v>
      </c>
      <c r="X11">
        <v>1</v>
      </c>
    </row>
    <row r="12" spans="1:66" x14ac:dyDescent="0.2">
      <c r="A12">
        <v>9</v>
      </c>
      <c r="B12">
        <v>81</v>
      </c>
      <c r="G12" t="s">
        <v>185</v>
      </c>
      <c r="H12">
        <v>1</v>
      </c>
      <c r="I12">
        <v>1</v>
      </c>
      <c r="K12">
        <v>7</v>
      </c>
      <c r="L12">
        <v>7</v>
      </c>
      <c r="M12">
        <v>7</v>
      </c>
      <c r="Q12">
        <v>1</v>
      </c>
      <c r="R12">
        <v>1</v>
      </c>
      <c r="X12">
        <v>1</v>
      </c>
    </row>
    <row r="13" spans="1:66" x14ac:dyDescent="0.2">
      <c r="A13">
        <v>10</v>
      </c>
      <c r="B13">
        <v>91</v>
      </c>
      <c r="G13" t="s">
        <v>185</v>
      </c>
      <c r="H13">
        <v>1</v>
      </c>
      <c r="I13">
        <v>1</v>
      </c>
      <c r="J13">
        <v>1</v>
      </c>
      <c r="K13">
        <v>2</v>
      </c>
      <c r="N13">
        <v>1</v>
      </c>
      <c r="O13">
        <v>1</v>
      </c>
      <c r="P13">
        <v>1</v>
      </c>
      <c r="U13">
        <v>1</v>
      </c>
      <c r="V13">
        <v>1</v>
      </c>
      <c r="Y13">
        <v>1</v>
      </c>
    </row>
    <row r="14" spans="1:66" x14ac:dyDescent="0.2">
      <c r="A14">
        <v>11</v>
      </c>
      <c r="B14">
        <v>102</v>
      </c>
      <c r="K14">
        <v>8</v>
      </c>
      <c r="L14">
        <v>7</v>
      </c>
      <c r="M14">
        <v>7</v>
      </c>
      <c r="Q14">
        <v>1</v>
      </c>
      <c r="R14">
        <v>1</v>
      </c>
      <c r="U14">
        <v>1</v>
      </c>
      <c r="V14">
        <v>1</v>
      </c>
      <c r="W14" t="s">
        <v>189</v>
      </c>
    </row>
    <row r="15" spans="1:66" x14ac:dyDescent="0.2">
      <c r="A15">
        <v>12</v>
      </c>
      <c r="B15">
        <v>112</v>
      </c>
      <c r="G15" t="s">
        <v>188</v>
      </c>
      <c r="H15">
        <v>1</v>
      </c>
      <c r="I15">
        <v>1</v>
      </c>
      <c r="K15">
        <v>6</v>
      </c>
      <c r="L15">
        <v>3</v>
      </c>
      <c r="M15">
        <v>3</v>
      </c>
      <c r="Q15">
        <v>3</v>
      </c>
      <c r="R15">
        <v>3</v>
      </c>
      <c r="S15">
        <v>1</v>
      </c>
      <c r="T15">
        <v>1</v>
      </c>
    </row>
    <row r="16" spans="1:66" x14ac:dyDescent="0.2">
      <c r="A16" t="s">
        <v>8</v>
      </c>
      <c r="C16">
        <f>SUM(C4:C15)</f>
        <v>4</v>
      </c>
      <c r="E16">
        <f>SUM(E4:E15)</f>
        <v>1</v>
      </c>
      <c r="F16">
        <f>SUM(F4:F15)</f>
        <v>1</v>
      </c>
      <c r="H16">
        <f t="shared" ref="H16:P16" si="0">SUM(H4:H15)</f>
        <v>9</v>
      </c>
      <c r="I16">
        <f t="shared" si="0"/>
        <v>7</v>
      </c>
      <c r="J16">
        <f t="shared" si="0"/>
        <v>5</v>
      </c>
      <c r="K16">
        <f t="shared" si="0"/>
        <v>69</v>
      </c>
      <c r="L16">
        <f t="shared" si="0"/>
        <v>41</v>
      </c>
      <c r="M16">
        <f t="shared" si="0"/>
        <v>41</v>
      </c>
      <c r="N16">
        <f t="shared" si="0"/>
        <v>10</v>
      </c>
      <c r="O16">
        <f t="shared" si="0"/>
        <v>7</v>
      </c>
      <c r="P16">
        <f t="shared" si="0"/>
        <v>5</v>
      </c>
      <c r="Q16">
        <f>SUM(Q4:Q15)</f>
        <v>16</v>
      </c>
      <c r="R16">
        <f>SUM(R4:R15)</f>
        <v>16</v>
      </c>
      <c r="S16">
        <f>SUM(S4:S15)</f>
        <v>2</v>
      </c>
      <c r="T16">
        <v>0</v>
      </c>
      <c r="U16">
        <f>SUM(U4:U15)</f>
        <v>8</v>
      </c>
      <c r="V16">
        <f>SUM(V4:V15)</f>
        <v>8</v>
      </c>
      <c r="W16">
        <f>SUM(W4:W15)</f>
        <v>0</v>
      </c>
      <c r="X16">
        <f>SUM(X4:X15)</f>
        <v>2</v>
      </c>
      <c r="Y16">
        <f>SUM(Y4:Y15)</f>
        <v>5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0.77777777777777779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0.7142857142857143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0.66666666666666663</v>
      </c>
      <c r="I22" t="s">
        <v>23</v>
      </c>
      <c r="N22">
        <f>AVERAGE(I54:I65)</f>
        <v>0.41666666666666669</v>
      </c>
      <c r="O22">
        <f>MEDIAN(I54:I65)</f>
        <v>0</v>
      </c>
      <c r="P22">
        <f>MAX(I54:I65)</f>
        <v>2</v>
      </c>
      <c r="Q22">
        <f>_xlfn.STDEV.S(I54:I65)</f>
        <v>0.66855792342152143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0.83333333333333337</v>
      </c>
      <c r="I24">
        <f>AVERAGE(A54:A65)</f>
        <v>0.41666666666666669</v>
      </c>
      <c r="J24">
        <f>MAX(A54:A65)</f>
        <v>2</v>
      </c>
      <c r="K24">
        <f>_xlfn.STDEV.S(A54:A65)</f>
        <v>0.66855792342152143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5.75</v>
      </c>
      <c r="O25">
        <f>MEDIAN(K54:K65)</f>
        <v>6</v>
      </c>
      <c r="P25">
        <f>MAX(K54:K65)</f>
        <v>9</v>
      </c>
      <c r="Q25">
        <f>_xlfn.STDEV.S(K54:K65)</f>
        <v>2.4167972796469899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0.58333333333333337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</v>
      </c>
      <c r="T27">
        <f>MAX(Y4:Y15)</f>
        <v>1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6.7567567567567571E-2</v>
      </c>
    </row>
    <row r="29" spans="1:66" x14ac:dyDescent="0.2">
      <c r="D29">
        <f>_xlfn.STDEV.S(A68:A79)</f>
        <v>0.44095855184409838</v>
      </c>
      <c r="I29">
        <f>AVERAGE(C54:C65)</f>
        <v>1.3333333333333333</v>
      </c>
      <c r="J29">
        <f>MAX(C54:C65)</f>
        <v>4</v>
      </c>
      <c r="K29">
        <f>_xlfn.STDEV.S(C54:C65)</f>
        <v>1.3026778945578592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0.93243243243243246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3.4166666666666665</v>
      </c>
      <c r="J34">
        <f>MAX(E54:E65)</f>
        <v>7</v>
      </c>
      <c r="K34">
        <f>_xlfn.STDEV.S(E54:E65)</f>
        <v>2.8749176536296677</v>
      </c>
      <c r="L34">
        <f>AVERAGE(K68:K79)</f>
        <v>4.25</v>
      </c>
      <c r="M34">
        <f>MAX(K68:K79)</f>
        <v>6</v>
      </c>
      <c r="N34">
        <f>_xlfn.STDEV.S(K68:K79)</f>
        <v>2.8722813232690143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0.83333333333333337</v>
      </c>
      <c r="J37">
        <f>MAX(G54:G65)</f>
        <v>5</v>
      </c>
      <c r="K37">
        <f>_xlfn.STDEV.S(G54:G65)</f>
        <v>1.7494587907710375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4</v>
      </c>
      <c r="E54">
        <f t="shared" ref="E54:E65" si="3">IF(ISBLANK(B4),"",M4)</f>
        <v>5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9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0</v>
      </c>
      <c r="E55">
        <f t="shared" si="3"/>
        <v>1</v>
      </c>
      <c r="G55">
        <f t="shared" si="4"/>
        <v>0</v>
      </c>
      <c r="I55">
        <f t="shared" si="5"/>
        <v>0</v>
      </c>
      <c r="K55">
        <f t="shared" si="6"/>
        <v>4</v>
      </c>
      <c r="N55">
        <f t="shared" si="7"/>
        <v>1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1</v>
      </c>
      <c r="C56">
        <f t="shared" si="2"/>
        <v>1</v>
      </c>
      <c r="E56">
        <f t="shared" si="3"/>
        <v>1</v>
      </c>
      <c r="G56">
        <f t="shared" si="4"/>
        <v>0</v>
      </c>
      <c r="I56">
        <f t="shared" si="5"/>
        <v>1</v>
      </c>
      <c r="K56">
        <f t="shared" si="6"/>
        <v>2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0</v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0</v>
      </c>
      <c r="E57">
        <f t="shared" si="3"/>
        <v>0</v>
      </c>
      <c r="G57">
        <f t="shared" si="4"/>
        <v>4</v>
      </c>
      <c r="I57">
        <f t="shared" si="5"/>
        <v>1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1</v>
      </c>
      <c r="E58">
        <f t="shared" si="3"/>
        <v>0</v>
      </c>
      <c r="G58">
        <f t="shared" si="4"/>
        <v>5</v>
      </c>
      <c r="I58">
        <f t="shared" si="5"/>
        <v>2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0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1</v>
      </c>
      <c r="E59">
        <f t="shared" si="3"/>
        <v>6</v>
      </c>
      <c r="G59">
        <f t="shared" si="4"/>
        <v>0</v>
      </c>
      <c r="I59">
        <f t="shared" si="5"/>
        <v>0</v>
      </c>
      <c r="K59">
        <f t="shared" si="6"/>
        <v>6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1</v>
      </c>
      <c r="E60">
        <f t="shared" si="3"/>
        <v>6</v>
      </c>
      <c r="G60">
        <f t="shared" si="4"/>
        <v>0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3</v>
      </c>
      <c r="E61">
        <f t="shared" si="3"/>
        <v>5</v>
      </c>
      <c r="G61">
        <f t="shared" si="4"/>
        <v>0</v>
      </c>
      <c r="I61">
        <f t="shared" si="5"/>
        <v>0</v>
      </c>
      <c r="K61">
        <f t="shared" si="6"/>
        <v>9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1</v>
      </c>
      <c r="C63">
        <f t="shared" si="2"/>
        <v>0</v>
      </c>
      <c r="E63">
        <f t="shared" si="3"/>
        <v>0</v>
      </c>
      <c r="G63">
        <f t="shared" si="4"/>
        <v>1</v>
      </c>
      <c r="I63">
        <f t="shared" si="5"/>
        <v>1</v>
      </c>
      <c r="K63">
        <f t="shared" si="6"/>
        <v>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7</v>
      </c>
      <c r="G64">
        <f t="shared" si="4"/>
        <v>0</v>
      </c>
      <c r="I64">
        <f t="shared" si="5"/>
        <v>0</v>
      </c>
      <c r="K64">
        <f t="shared" si="6"/>
        <v>8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>
        <f t="shared" si="17"/>
        <v>1</v>
      </c>
      <c r="AE64">
        <f t="shared" si="18"/>
        <v>1</v>
      </c>
    </row>
    <row r="65" spans="1:31" x14ac:dyDescent="0.2">
      <c r="A65">
        <f t="shared" si="1"/>
        <v>0</v>
      </c>
      <c r="C65">
        <f t="shared" si="2"/>
        <v>3</v>
      </c>
      <c r="E65">
        <f t="shared" si="3"/>
        <v>3</v>
      </c>
      <c r="G65">
        <f t="shared" si="4"/>
        <v>0</v>
      </c>
      <c r="I65">
        <f t="shared" si="5"/>
        <v>0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2</v>
      </c>
      <c r="U66">
        <f>SUM(U54:U65)</f>
        <v>6</v>
      </c>
      <c r="V66">
        <f>SUM(V54:V65)</f>
        <v>5</v>
      </c>
      <c r="Y66">
        <f>SUM(Y54:Y65)</f>
        <v>6</v>
      </c>
      <c r="AA66">
        <f>SUM(AA54:AA65)</f>
        <v>6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10</v>
      </c>
      <c r="G68">
        <f>AVERAGE(E68:E79)</f>
        <v>5.833333333333333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0</v>
      </c>
      <c r="C70">
        <f t="shared" si="20"/>
        <v>1</v>
      </c>
      <c r="E70">
        <f t="shared" si="21"/>
        <v>3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1</v>
      </c>
      <c r="E71">
        <f t="shared" si="21"/>
        <v>2</v>
      </c>
      <c r="I71">
        <f t="shared" si="22"/>
        <v>0</v>
      </c>
      <c r="K71">
        <f t="shared" si="23"/>
        <v>0</v>
      </c>
    </row>
    <row r="72" spans="1:31" x14ac:dyDescent="0.2">
      <c r="A72">
        <f t="shared" si="19"/>
        <v>0</v>
      </c>
      <c r="C72">
        <f t="shared" si="20"/>
        <v>1</v>
      </c>
      <c r="E72">
        <f t="shared" si="21"/>
        <v>1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7</v>
      </c>
      <c r="I73">
        <f t="shared" si="22"/>
        <v>6</v>
      </c>
      <c r="K73">
        <f t="shared" si="23"/>
        <v>6</v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8</v>
      </c>
      <c r="I74">
        <f t="shared" si="22"/>
        <v>6</v>
      </c>
      <c r="K74">
        <f t="shared" si="23"/>
        <v>6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9</v>
      </c>
      <c r="I75">
        <f t="shared" si="22"/>
        <v>5</v>
      </c>
      <c r="K75">
        <f t="shared" si="23"/>
        <v>5</v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2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8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17</v>
      </c>
      <c r="K80">
        <f>SUM(K68:K79)</f>
        <v>17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enableFormatConditionsCalculation="0"/>
  <dimension ref="A1:BN94"/>
  <sheetViews>
    <sheetView topLeftCell="W1"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C4">
        <v>1</v>
      </c>
      <c r="G4" t="s">
        <v>188</v>
      </c>
      <c r="H4">
        <v>1</v>
      </c>
      <c r="K4">
        <v>4</v>
      </c>
      <c r="O4">
        <v>5</v>
      </c>
      <c r="P4">
        <v>4</v>
      </c>
      <c r="S4">
        <v>1</v>
      </c>
      <c r="T4">
        <v>1</v>
      </c>
    </row>
    <row r="5" spans="1:66" x14ac:dyDescent="0.2">
      <c r="A5">
        <v>2</v>
      </c>
      <c r="B5">
        <v>16</v>
      </c>
      <c r="C5">
        <v>1</v>
      </c>
      <c r="G5" t="s">
        <v>188</v>
      </c>
      <c r="H5">
        <v>1</v>
      </c>
      <c r="I5">
        <v>1</v>
      </c>
      <c r="K5">
        <v>9</v>
      </c>
      <c r="L5">
        <v>9</v>
      </c>
      <c r="M5">
        <v>9</v>
      </c>
      <c r="S5">
        <v>1</v>
      </c>
      <c r="X5">
        <v>1</v>
      </c>
    </row>
    <row r="6" spans="1:66" x14ac:dyDescent="0.2">
      <c r="A6">
        <v>3</v>
      </c>
      <c r="B6">
        <v>28</v>
      </c>
      <c r="D6" t="s">
        <v>185</v>
      </c>
      <c r="E6">
        <v>1</v>
      </c>
      <c r="F6">
        <v>1</v>
      </c>
      <c r="K6">
        <v>6</v>
      </c>
      <c r="L6">
        <v>2</v>
      </c>
      <c r="M6">
        <v>2</v>
      </c>
      <c r="Q6">
        <v>5</v>
      </c>
      <c r="R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37</v>
      </c>
      <c r="G7" t="s">
        <v>188</v>
      </c>
      <c r="H7">
        <v>1</v>
      </c>
      <c r="I7">
        <v>1</v>
      </c>
      <c r="K7">
        <v>8</v>
      </c>
      <c r="L7">
        <v>8</v>
      </c>
      <c r="M7">
        <v>8</v>
      </c>
      <c r="X7">
        <v>1</v>
      </c>
    </row>
    <row r="8" spans="1:66" x14ac:dyDescent="0.2">
      <c r="A8">
        <v>5</v>
      </c>
      <c r="B8">
        <v>47</v>
      </c>
      <c r="C8">
        <v>1</v>
      </c>
      <c r="G8" t="s">
        <v>188</v>
      </c>
      <c r="H8">
        <v>1</v>
      </c>
      <c r="S8">
        <v>1</v>
      </c>
      <c r="T8">
        <v>1</v>
      </c>
      <c r="U8">
        <v>1</v>
      </c>
      <c r="W8" t="s">
        <v>186</v>
      </c>
    </row>
    <row r="9" spans="1:66" x14ac:dyDescent="0.2">
      <c r="A9">
        <v>6</v>
      </c>
      <c r="B9">
        <v>52</v>
      </c>
      <c r="G9" t="s">
        <v>185</v>
      </c>
      <c r="H9">
        <v>1</v>
      </c>
      <c r="I9">
        <v>1</v>
      </c>
      <c r="K9">
        <v>4</v>
      </c>
      <c r="N9">
        <v>2</v>
      </c>
      <c r="Q9">
        <v>1</v>
      </c>
      <c r="R9">
        <v>1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69</v>
      </c>
      <c r="G10" t="s">
        <v>188</v>
      </c>
      <c r="H10">
        <v>1</v>
      </c>
      <c r="I10">
        <v>1</v>
      </c>
      <c r="X10">
        <v>1</v>
      </c>
    </row>
    <row r="11" spans="1:66" x14ac:dyDescent="0.2">
      <c r="A11">
        <v>8</v>
      </c>
      <c r="B11">
        <v>79</v>
      </c>
      <c r="G11" t="s">
        <v>188</v>
      </c>
      <c r="H11">
        <v>1</v>
      </c>
      <c r="I11">
        <v>1</v>
      </c>
      <c r="J11">
        <v>2</v>
      </c>
      <c r="K11">
        <v>3</v>
      </c>
      <c r="N11">
        <v>4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88</v>
      </c>
      <c r="G12" t="s">
        <v>188</v>
      </c>
      <c r="H12">
        <v>1</v>
      </c>
      <c r="I12">
        <v>1</v>
      </c>
      <c r="K12">
        <v>8</v>
      </c>
      <c r="L12">
        <v>7</v>
      </c>
      <c r="M12">
        <v>7</v>
      </c>
      <c r="Q12">
        <v>1</v>
      </c>
      <c r="R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100</v>
      </c>
      <c r="G13" t="s">
        <v>188</v>
      </c>
      <c r="H13">
        <v>1</v>
      </c>
      <c r="I13">
        <v>1</v>
      </c>
      <c r="K13">
        <v>8</v>
      </c>
      <c r="L13">
        <v>6</v>
      </c>
      <c r="M13">
        <v>6</v>
      </c>
      <c r="Q13">
        <v>2</v>
      </c>
      <c r="R13">
        <v>2</v>
      </c>
      <c r="S13">
        <v>1</v>
      </c>
      <c r="T13">
        <v>1</v>
      </c>
      <c r="U13">
        <v>1</v>
      </c>
      <c r="W13" t="s">
        <v>186</v>
      </c>
      <c r="X13">
        <v>1</v>
      </c>
    </row>
    <row r="14" spans="1:66" x14ac:dyDescent="0.2">
      <c r="A14">
        <v>11</v>
      </c>
      <c r="B14">
        <v>109</v>
      </c>
      <c r="G14" t="s">
        <v>185</v>
      </c>
      <c r="H14">
        <v>1</v>
      </c>
      <c r="I14">
        <v>1</v>
      </c>
      <c r="K14">
        <v>5</v>
      </c>
      <c r="O14">
        <v>5</v>
      </c>
      <c r="P14">
        <v>5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114</v>
      </c>
      <c r="C15">
        <v>1</v>
      </c>
      <c r="K15">
        <v>8</v>
      </c>
      <c r="L15">
        <v>8</v>
      </c>
      <c r="M15">
        <v>8</v>
      </c>
      <c r="Q15">
        <v>1</v>
      </c>
      <c r="R15">
        <v>1</v>
      </c>
      <c r="U15">
        <v>1</v>
      </c>
      <c r="W15" t="s">
        <v>189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1</v>
      </c>
      <c r="F16">
        <f>SUM(F4:F15)</f>
        <v>1</v>
      </c>
      <c r="H16">
        <f t="shared" ref="H16:P16" si="0">SUM(H4:H15)</f>
        <v>10</v>
      </c>
      <c r="I16">
        <f t="shared" si="0"/>
        <v>8</v>
      </c>
      <c r="J16">
        <f t="shared" si="0"/>
        <v>2</v>
      </c>
      <c r="K16">
        <f t="shared" si="0"/>
        <v>63</v>
      </c>
      <c r="L16">
        <f t="shared" si="0"/>
        <v>40</v>
      </c>
      <c r="M16">
        <f t="shared" si="0"/>
        <v>40</v>
      </c>
      <c r="N16">
        <f t="shared" si="0"/>
        <v>6</v>
      </c>
      <c r="O16">
        <f t="shared" si="0"/>
        <v>10</v>
      </c>
      <c r="P16">
        <f t="shared" si="0"/>
        <v>9</v>
      </c>
      <c r="Q16">
        <f>SUM(Q4:Q15)</f>
        <v>10</v>
      </c>
      <c r="R16">
        <f>SUM(R4:R15)</f>
        <v>8</v>
      </c>
      <c r="S16">
        <f>SUM(S4:S15)</f>
        <v>5</v>
      </c>
      <c r="T16">
        <v>0</v>
      </c>
      <c r="U16">
        <f>SUM(U4:U15)</f>
        <v>7</v>
      </c>
      <c r="V16">
        <f>SUM(V4:V15)</f>
        <v>3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0.8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0.16666666666666666</v>
      </c>
      <c r="O22">
        <f>MEDIAN(I54:I65)</f>
        <v>0</v>
      </c>
      <c r="P22">
        <f>MAX(I54:I65)</f>
        <v>2</v>
      </c>
      <c r="Q22">
        <f>_xlfn.STDEV.S(I54:I65)</f>
        <v>0.57735026918962573</v>
      </c>
      <c r="S22">
        <f>V16/U16</f>
        <v>0.42857142857142855</v>
      </c>
      <c r="U22">
        <f>AA66/Y66</f>
        <v>0.5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0.75</v>
      </c>
      <c r="I24">
        <f>AVERAGE(A54:A65)</f>
        <v>0.75</v>
      </c>
      <c r="J24">
        <f>MAX(A54:A65)</f>
        <v>5</v>
      </c>
      <c r="K24">
        <f>_xlfn.STDEV.S(A54:A65)</f>
        <v>1.764549903980152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0.25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5.25</v>
      </c>
      <c r="O25">
        <f>MEDIAN(K54:K65)</f>
        <v>5.5</v>
      </c>
      <c r="P25">
        <f>MAX(K54:K65)</f>
        <v>9</v>
      </c>
      <c r="Q25">
        <f>_xlfn.STDEV.S(K54:K65)</f>
        <v>3.1370223287233854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0.66666666666666663</v>
      </c>
      <c r="I26">
        <f>R16/Q16</f>
        <v>0.8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3.0769230769230771E-2</v>
      </c>
    </row>
    <row r="29" spans="1:66" x14ac:dyDescent="0.2">
      <c r="D29">
        <f>_xlfn.STDEV.S(A68:A79)</f>
        <v>0.42163702135578385</v>
      </c>
      <c r="I29">
        <f>AVERAGE(C54:C65)</f>
        <v>0.66666666666666663</v>
      </c>
      <c r="J29">
        <f>MAX(C54:C65)</f>
        <v>3</v>
      </c>
      <c r="K29">
        <f>_xlfn.STDEV.S(C54:C65)</f>
        <v>0.9847319278346619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0.96923076923076923</v>
      </c>
      <c r="S30">
        <f>_xlfn.STDEV.S(C68:C79)</f>
        <v>0.45226701686664544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3.3333333333333335</v>
      </c>
      <c r="J34">
        <f>MAX(E54:E65)</f>
        <v>9</v>
      </c>
      <c r="K34">
        <f>_xlfn.STDEV.S(E54:E65)</f>
        <v>3.869069264008719</v>
      </c>
      <c r="L34">
        <f>AVERAGE(K68:K79)</f>
        <v>4.25</v>
      </c>
      <c r="M34">
        <f>MAX(K68:K79)</f>
        <v>9</v>
      </c>
      <c r="N34">
        <f>_xlfn.STDEV.S(K68:K79)</f>
        <v>4.924428900898052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0.5</v>
      </c>
      <c r="J37">
        <f>MAX(G54:G65)</f>
        <v>4</v>
      </c>
      <c r="K37">
        <f>_xlfn.STDEV.S(G54:G65)</f>
        <v>1.243163121016122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4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0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9</v>
      </c>
      <c r="G55">
        <f t="shared" si="4"/>
        <v>0</v>
      </c>
      <c r="I55">
        <f t="shared" si="5"/>
        <v>0</v>
      </c>
      <c r="K55">
        <f t="shared" si="6"/>
        <v>9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3</v>
      </c>
      <c r="E56">
        <f t="shared" si="3"/>
        <v>2</v>
      </c>
      <c r="G56">
        <f t="shared" si="4"/>
        <v>0</v>
      </c>
      <c r="I56">
        <f t="shared" si="5"/>
        <v>0</v>
      </c>
      <c r="K56">
        <f t="shared" si="6"/>
        <v>6</v>
      </c>
      <c r="N56">
        <f t="shared" si="7"/>
        <v>1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8</v>
      </c>
      <c r="G57">
        <f t="shared" si="4"/>
        <v>0</v>
      </c>
      <c r="I57">
        <f t="shared" si="5"/>
        <v>0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0</v>
      </c>
      <c r="Y58">
        <f t="shared" si="15"/>
        <v>1</v>
      </c>
      <c r="AA58">
        <f t="shared" si="16"/>
        <v>0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1</v>
      </c>
      <c r="E59">
        <f t="shared" si="3"/>
        <v>0</v>
      </c>
      <c r="G59">
        <f t="shared" si="4"/>
        <v>2</v>
      </c>
      <c r="I59">
        <f t="shared" si="5"/>
        <v>0</v>
      </c>
      <c r="K59">
        <f t="shared" si="6"/>
        <v>4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1</v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0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0</v>
      </c>
      <c r="G61">
        <f t="shared" si="4"/>
        <v>4</v>
      </c>
      <c r="I61">
        <f t="shared" si="5"/>
        <v>2</v>
      </c>
      <c r="K61">
        <f t="shared" si="6"/>
        <v>3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2</v>
      </c>
      <c r="E63">
        <f t="shared" si="3"/>
        <v>6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>
        <f t="shared" si="15"/>
        <v>1</v>
      </c>
      <c r="AA63">
        <f t="shared" si="16"/>
        <v>0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5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8</v>
      </c>
      <c r="G65">
        <f t="shared" si="4"/>
        <v>0</v>
      </c>
      <c r="I65">
        <f t="shared" si="5"/>
        <v>0</v>
      </c>
      <c r="K65">
        <f t="shared" si="6"/>
        <v>8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>
        <f t="shared" si="17"/>
        <v>1</v>
      </c>
      <c r="AE65">
        <f t="shared" si="18"/>
        <v>0</v>
      </c>
    </row>
    <row r="66" spans="1:31" x14ac:dyDescent="0.2">
      <c r="M66" t="s">
        <v>8</v>
      </c>
      <c r="N66">
        <f>SUM(N54:N65)</f>
        <v>1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2</v>
      </c>
      <c r="U66">
        <f>SUM(U54:U65)</f>
        <v>8</v>
      </c>
      <c r="V66">
        <f>SUM(V54:V65)</f>
        <v>6</v>
      </c>
      <c r="Y66">
        <f>SUM(Y54:Y65)</f>
        <v>6</v>
      </c>
      <c r="AA66">
        <f>SUM(AA54:AA65)</f>
        <v>3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5.5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10</v>
      </c>
      <c r="I69">
        <f t="shared" ref="I69:I79" si="22">IF(ISBLANK(B5)+ISBLANK(C5), "", L5)</f>
        <v>9</v>
      </c>
      <c r="K69">
        <f t="shared" ref="K69:K79" si="23">IF(ISBLANK(B5)+ISBLANK(C5), "", M5)</f>
        <v>9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6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0</v>
      </c>
      <c r="C72">
        <f t="shared" si="20"/>
        <v>0</v>
      </c>
      <c r="E72">
        <f t="shared" si="21"/>
        <v>0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2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1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1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1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9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6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9</v>
      </c>
      <c r="I79">
        <f t="shared" si="22"/>
        <v>8</v>
      </c>
      <c r="K79">
        <f t="shared" si="23"/>
        <v>8</v>
      </c>
    </row>
    <row r="80" spans="1:31" x14ac:dyDescent="0.2">
      <c r="H80" t="s">
        <v>168</v>
      </c>
      <c r="I80">
        <f>SUM(I68:I79)</f>
        <v>17</v>
      </c>
      <c r="K80">
        <f>SUM(K68:K79)</f>
        <v>17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enableFormatConditionsCalculation="0"/>
  <dimension ref="A1:BN94"/>
  <sheetViews>
    <sheetView topLeftCell="W1"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C4">
        <v>1</v>
      </c>
      <c r="D4" t="s">
        <v>185</v>
      </c>
      <c r="E4">
        <v>1</v>
      </c>
      <c r="J4">
        <v>2</v>
      </c>
      <c r="K4">
        <v>4</v>
      </c>
      <c r="L4">
        <v>1</v>
      </c>
      <c r="M4">
        <v>1</v>
      </c>
      <c r="O4">
        <v>5</v>
      </c>
      <c r="P4">
        <v>5</v>
      </c>
      <c r="Q4">
        <v>1</v>
      </c>
      <c r="R4">
        <v>1</v>
      </c>
      <c r="U4">
        <v>1</v>
      </c>
      <c r="W4" t="s">
        <v>189</v>
      </c>
      <c r="X4">
        <v>1</v>
      </c>
    </row>
    <row r="5" spans="1:66" x14ac:dyDescent="0.2">
      <c r="A5">
        <v>2</v>
      </c>
      <c r="B5">
        <v>17</v>
      </c>
      <c r="C5">
        <v>1</v>
      </c>
      <c r="G5" t="s">
        <v>188</v>
      </c>
      <c r="H5">
        <v>2</v>
      </c>
      <c r="I5">
        <v>1</v>
      </c>
      <c r="K5">
        <v>5</v>
      </c>
      <c r="O5">
        <v>6</v>
      </c>
      <c r="P5">
        <v>6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22</v>
      </c>
      <c r="D6" t="s">
        <v>188</v>
      </c>
      <c r="E6">
        <v>1</v>
      </c>
      <c r="F6">
        <v>1</v>
      </c>
      <c r="K6">
        <v>7</v>
      </c>
      <c r="L6">
        <v>3</v>
      </c>
      <c r="M6">
        <v>3</v>
      </c>
      <c r="O6">
        <v>2</v>
      </c>
      <c r="P6">
        <v>2</v>
      </c>
      <c r="Q6">
        <v>2</v>
      </c>
      <c r="R6">
        <v>2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35</v>
      </c>
      <c r="D7" t="s">
        <v>185</v>
      </c>
      <c r="E7">
        <v>1</v>
      </c>
      <c r="F7">
        <v>1</v>
      </c>
      <c r="J7">
        <v>4</v>
      </c>
      <c r="K7">
        <v>5</v>
      </c>
      <c r="N7">
        <v>6</v>
      </c>
      <c r="O7">
        <v>3</v>
      </c>
      <c r="P7">
        <v>3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42</v>
      </c>
      <c r="K8">
        <v>4</v>
      </c>
      <c r="O8">
        <v>4</v>
      </c>
      <c r="P8">
        <v>4</v>
      </c>
      <c r="U8">
        <v>1</v>
      </c>
      <c r="V8">
        <v>1</v>
      </c>
      <c r="W8" t="s">
        <v>186</v>
      </c>
      <c r="Y8">
        <v>1</v>
      </c>
    </row>
    <row r="9" spans="1:66" x14ac:dyDescent="0.2">
      <c r="A9">
        <v>6</v>
      </c>
      <c r="B9">
        <v>58</v>
      </c>
      <c r="C9">
        <v>1</v>
      </c>
      <c r="G9" t="s">
        <v>188</v>
      </c>
      <c r="H9">
        <v>2</v>
      </c>
      <c r="I9">
        <v>2</v>
      </c>
      <c r="J9">
        <v>3</v>
      </c>
      <c r="K9">
        <v>5</v>
      </c>
      <c r="L9">
        <v>1</v>
      </c>
      <c r="M9">
        <v>1</v>
      </c>
      <c r="N9">
        <v>2</v>
      </c>
      <c r="O9">
        <v>4</v>
      </c>
      <c r="P9">
        <v>3</v>
      </c>
      <c r="Q9">
        <v>2</v>
      </c>
      <c r="R9">
        <v>2</v>
      </c>
      <c r="X9">
        <v>1</v>
      </c>
    </row>
    <row r="10" spans="1:66" x14ac:dyDescent="0.2">
      <c r="A10">
        <v>7</v>
      </c>
      <c r="B10">
        <v>65</v>
      </c>
      <c r="G10" t="s">
        <v>188</v>
      </c>
      <c r="H10">
        <v>2</v>
      </c>
      <c r="I10">
        <v>1</v>
      </c>
      <c r="K10">
        <v>6</v>
      </c>
      <c r="L10">
        <v>2</v>
      </c>
      <c r="M10">
        <v>2</v>
      </c>
      <c r="O10">
        <v>4</v>
      </c>
      <c r="P10">
        <v>3</v>
      </c>
      <c r="Q10">
        <v>1</v>
      </c>
      <c r="R10">
        <v>1</v>
      </c>
      <c r="S10">
        <v>1</v>
      </c>
      <c r="T10">
        <v>1</v>
      </c>
      <c r="U10">
        <v>1</v>
      </c>
      <c r="W10" t="s">
        <v>186</v>
      </c>
      <c r="X10">
        <v>1</v>
      </c>
    </row>
    <row r="11" spans="1:66" x14ac:dyDescent="0.2">
      <c r="A11">
        <v>8</v>
      </c>
      <c r="B11">
        <v>80</v>
      </c>
      <c r="G11" t="s">
        <v>188</v>
      </c>
      <c r="H11">
        <v>2</v>
      </c>
      <c r="I11">
        <v>2</v>
      </c>
      <c r="J11">
        <v>2</v>
      </c>
      <c r="K11">
        <v>6</v>
      </c>
      <c r="N11">
        <v>3</v>
      </c>
      <c r="O11">
        <v>4</v>
      </c>
      <c r="P11">
        <v>3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86</v>
      </c>
      <c r="G12" t="s">
        <v>188</v>
      </c>
      <c r="H12">
        <v>2</v>
      </c>
      <c r="I12">
        <v>2</v>
      </c>
      <c r="K12">
        <v>8</v>
      </c>
      <c r="L12">
        <v>3</v>
      </c>
      <c r="M12">
        <v>3</v>
      </c>
      <c r="O12">
        <v>4</v>
      </c>
      <c r="P12">
        <v>4</v>
      </c>
      <c r="Q12">
        <v>1</v>
      </c>
      <c r="R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93</v>
      </c>
      <c r="G13" t="s">
        <v>188</v>
      </c>
      <c r="H13">
        <v>1</v>
      </c>
      <c r="I13">
        <v>1</v>
      </c>
      <c r="K13">
        <v>10</v>
      </c>
      <c r="L13">
        <v>7</v>
      </c>
      <c r="M13">
        <v>7</v>
      </c>
      <c r="Q13">
        <v>3</v>
      </c>
      <c r="R13">
        <v>3</v>
      </c>
      <c r="X13">
        <v>1</v>
      </c>
    </row>
    <row r="14" spans="1:66" x14ac:dyDescent="0.2">
      <c r="A14">
        <v>11</v>
      </c>
      <c r="B14">
        <v>103</v>
      </c>
      <c r="K14">
        <v>7</v>
      </c>
      <c r="O14">
        <v>7</v>
      </c>
      <c r="P14">
        <v>7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117</v>
      </c>
      <c r="C15">
        <v>1</v>
      </c>
      <c r="G15" t="s">
        <v>188</v>
      </c>
      <c r="H15">
        <v>3</v>
      </c>
      <c r="I15">
        <v>1</v>
      </c>
      <c r="K15">
        <v>4</v>
      </c>
      <c r="O15">
        <v>4</v>
      </c>
      <c r="P15">
        <v>4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3</v>
      </c>
      <c r="F16">
        <f>SUM(F4:F15)</f>
        <v>2</v>
      </c>
      <c r="H16">
        <f t="shared" ref="H16:P16" si="0">SUM(H4:H15)</f>
        <v>14</v>
      </c>
      <c r="I16">
        <f t="shared" si="0"/>
        <v>10</v>
      </c>
      <c r="J16">
        <f t="shared" si="0"/>
        <v>11</v>
      </c>
      <c r="K16">
        <f t="shared" si="0"/>
        <v>71</v>
      </c>
      <c r="L16">
        <f t="shared" si="0"/>
        <v>17</v>
      </c>
      <c r="M16">
        <f t="shared" si="0"/>
        <v>17</v>
      </c>
      <c r="N16">
        <f t="shared" si="0"/>
        <v>11</v>
      </c>
      <c r="O16">
        <f t="shared" si="0"/>
        <v>47</v>
      </c>
      <c r="P16">
        <f t="shared" si="0"/>
        <v>44</v>
      </c>
      <c r="Q16">
        <f>SUM(Q4:Q15)</f>
        <v>10</v>
      </c>
      <c r="R16">
        <f>SUM(R4:R15)</f>
        <v>10</v>
      </c>
      <c r="S16">
        <f>SUM(S4:S15)</f>
        <v>2</v>
      </c>
      <c r="T16">
        <v>0</v>
      </c>
      <c r="U16">
        <f>SUM(U4:U15)</f>
        <v>8</v>
      </c>
      <c r="V16">
        <f>SUM(V4:V15)</f>
        <v>6</v>
      </c>
      <c r="W16">
        <f>SUM(W4:W15)</f>
        <v>0</v>
      </c>
      <c r="X16">
        <f>SUM(X4:X15)</f>
        <v>6</v>
      </c>
      <c r="Y16">
        <f>SUM(Y4:Y15)</f>
        <v>1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0.66666666666666663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0.93617021276595747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0.5</v>
      </c>
      <c r="F22" t="e">
        <f>T66/S66</f>
        <v>#DIV/0!</v>
      </c>
      <c r="I22" t="s">
        <v>23</v>
      </c>
      <c r="N22">
        <f>AVERAGE(I54:I65)</f>
        <v>0.91666666666666663</v>
      </c>
      <c r="O22">
        <f>MEDIAN(I54:I65)</f>
        <v>0</v>
      </c>
      <c r="P22">
        <f>MAX(I54:I65)</f>
        <v>4</v>
      </c>
      <c r="Q22">
        <f>_xlfn.STDEV.S(I54:I65)</f>
        <v>1.4433756729740643</v>
      </c>
      <c r="S22">
        <f>V16/U16</f>
        <v>0.75</v>
      </c>
      <c r="U22">
        <f>AA66/Y66</f>
        <v>0.8571428571428571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1</v>
      </c>
      <c r="F24">
        <f>V66/U66</f>
        <v>0.7142857142857143</v>
      </c>
      <c r="I24">
        <f>AVERAGE(A54:A65)</f>
        <v>3.6666666666666665</v>
      </c>
      <c r="J24">
        <f>MAX(A54:A65)</f>
        <v>7</v>
      </c>
      <c r="K24">
        <f>_xlfn.STDEV.S(A54:A65)</f>
        <v>1.8257418583505536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5.916666666666667</v>
      </c>
      <c r="O25">
        <f>MEDIAN(K54:K65)</f>
        <v>5.5</v>
      </c>
      <c r="P25">
        <f>MAX(K54:K65)</f>
        <v>10</v>
      </c>
      <c r="Q25">
        <f>_xlfn.STDEV.S(K54:K65)</f>
        <v>1.8319554050414568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0.83333333333333337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</v>
      </c>
      <c r="T27">
        <f>MAX(Y4:Y15)</f>
        <v>1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0.13414634146341464</v>
      </c>
    </row>
    <row r="29" spans="1:66" x14ac:dyDescent="0.2">
      <c r="D29">
        <f>_xlfn.STDEV.S(A68:A79)</f>
        <v>0.53452248382484868</v>
      </c>
      <c r="I29">
        <f>AVERAGE(C54:C65)</f>
        <v>0.83333333333333337</v>
      </c>
      <c r="J29">
        <f>MAX(C54:C65)</f>
        <v>3</v>
      </c>
      <c r="K29">
        <f>_xlfn.STDEV.S(C54:C65)</f>
        <v>1.0298573010888745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0.86585365853658536</v>
      </c>
      <c r="S30">
        <f>_xlfn.STDEV.S(C68:C79)</f>
        <v>0.5222329678670935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>
        <f>H94/F94</f>
        <v>0.75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1.4166666666666667</v>
      </c>
      <c r="J34">
        <f>MAX(E54:E65)</f>
        <v>7</v>
      </c>
      <c r="K34">
        <f>_xlfn.STDEV.S(E54:E65)</f>
        <v>2.1087839379532691</v>
      </c>
      <c r="L34">
        <f>AVERAGE(K68:K79)</f>
        <v>0.5</v>
      </c>
      <c r="M34">
        <f>MAX(K68:K79)</f>
        <v>1</v>
      </c>
      <c r="N34">
        <f>_xlfn.STDEV.S(K68:K79)</f>
        <v>0.57735026918962573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0.91666666666666663</v>
      </c>
      <c r="J37">
        <f>MAX(G54:G65)</f>
        <v>6</v>
      </c>
      <c r="K37">
        <f>_xlfn.STDEV.S(G54:G65)</f>
        <v>1.880924981991251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1</v>
      </c>
      <c r="E54">
        <f t="shared" ref="E54:E65" si="3">IF(ISBLANK(B4),"",M4)</f>
        <v>1</v>
      </c>
      <c r="G54">
        <f t="shared" ref="G54:G65" si="4">IF(ISBLANK(B4),"",N4)</f>
        <v>0</v>
      </c>
      <c r="I54">
        <f t="shared" ref="I54:I65" si="5">IF(ISBLANK(B4),"",J4)</f>
        <v>2</v>
      </c>
      <c r="K54">
        <f t="shared" ref="K54:K65" si="6">IF(ISBLANK(B4),"",K4)</f>
        <v>4</v>
      </c>
      <c r="N54">
        <f t="shared" ref="N54:N65" si="7">IF($D4="d", $E4, "")</f>
        <v>1</v>
      </c>
      <c r="O54">
        <f t="shared" ref="O54:O65" si="8">IF($D4="d", $F4, "")</f>
        <v>0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>
        <f t="shared" ref="AC54:AC65" si="17">IF(ISBLANK(B4),"",IF(W4="o",U4,""))</f>
        <v>1</v>
      </c>
      <c r="AE54">
        <f t="shared" ref="AE54:AE65" si="18">IF(ISBLANK(B4),"",IF(W4="o",V4,""))</f>
        <v>0</v>
      </c>
    </row>
    <row r="55" spans="1:44" x14ac:dyDescent="0.2">
      <c r="A55">
        <f t="shared" si="1"/>
        <v>6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2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2</v>
      </c>
      <c r="C56">
        <f t="shared" si="2"/>
        <v>2</v>
      </c>
      <c r="E56">
        <f t="shared" si="3"/>
        <v>3</v>
      </c>
      <c r="G56">
        <f t="shared" si="4"/>
        <v>0</v>
      </c>
      <c r="I56">
        <f t="shared" si="5"/>
        <v>0</v>
      </c>
      <c r="K56">
        <f t="shared" si="6"/>
        <v>7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1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3</v>
      </c>
      <c r="C57">
        <f t="shared" si="2"/>
        <v>0</v>
      </c>
      <c r="E57">
        <f t="shared" si="3"/>
        <v>0</v>
      </c>
      <c r="G57">
        <f t="shared" si="4"/>
        <v>6</v>
      </c>
      <c r="I57">
        <f t="shared" si="5"/>
        <v>4</v>
      </c>
      <c r="K57">
        <f t="shared" si="6"/>
        <v>5</v>
      </c>
      <c r="N57">
        <f t="shared" si="7"/>
        <v>1</v>
      </c>
      <c r="O57">
        <f t="shared" si="8"/>
        <v>1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2</v>
      </c>
      <c r="E59">
        <f t="shared" si="3"/>
        <v>1</v>
      </c>
      <c r="G59">
        <f t="shared" si="4"/>
        <v>2</v>
      </c>
      <c r="I59">
        <f t="shared" si="5"/>
        <v>3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2</v>
      </c>
      <c r="V59">
        <f t="shared" si="14"/>
        <v>2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1</v>
      </c>
      <c r="E60">
        <f t="shared" si="3"/>
        <v>2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2</v>
      </c>
      <c r="V60">
        <f t="shared" si="14"/>
        <v>1</v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3</v>
      </c>
      <c r="I61">
        <f t="shared" si="5"/>
        <v>2</v>
      </c>
      <c r="K61">
        <f t="shared" si="6"/>
        <v>6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2</v>
      </c>
      <c r="V61">
        <f t="shared" si="14"/>
        <v>2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4</v>
      </c>
      <c r="C62">
        <f t="shared" si="2"/>
        <v>1</v>
      </c>
      <c r="E62">
        <f t="shared" si="3"/>
        <v>3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2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3</v>
      </c>
      <c r="E63">
        <f t="shared" si="3"/>
        <v>7</v>
      </c>
      <c r="G63">
        <f t="shared" si="4"/>
        <v>0</v>
      </c>
      <c r="I63">
        <f t="shared" si="5"/>
        <v>0</v>
      </c>
      <c r="K63">
        <f t="shared" si="6"/>
        <v>10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7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3</v>
      </c>
      <c r="V65">
        <f t="shared" si="14"/>
        <v>1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1</v>
      </c>
      <c r="P66">
        <f>SUM(P54:P65)</f>
        <v>1</v>
      </c>
      <c r="Q66">
        <f>SUM(Q54:Q65)</f>
        <v>1</v>
      </c>
      <c r="S66">
        <f>SUM(S54:S65)</f>
        <v>0</v>
      </c>
      <c r="T66">
        <f>SUM(T54:T65)</f>
        <v>0</v>
      </c>
      <c r="U66">
        <f>SUM(U54:U65)</f>
        <v>14</v>
      </c>
      <c r="V66">
        <f>SUM(V54:V65)</f>
        <v>10</v>
      </c>
      <c r="Y66">
        <f>SUM(Y54:Y65)</f>
        <v>7</v>
      </c>
      <c r="AA66">
        <f>SUM(AA54:AA65)</f>
        <v>6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7</v>
      </c>
      <c r="G68">
        <f>AVERAGE(E68:E79)</f>
        <v>6.916666666666667</v>
      </c>
      <c r="I68">
        <f>IF(ISBLANK(B4)+ISBLANK(C4), "", L4)</f>
        <v>1</v>
      </c>
      <c r="K68">
        <f>IF(ISBLANK(B4)+ISBLANK(C4), "", M4)</f>
        <v>1</v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7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8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4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2</v>
      </c>
      <c r="C73">
        <f t="shared" si="20"/>
        <v>0</v>
      </c>
      <c r="E73">
        <f t="shared" si="21"/>
        <v>8</v>
      </c>
      <c r="I73">
        <f t="shared" si="22"/>
        <v>1</v>
      </c>
      <c r="K73">
        <f t="shared" si="23"/>
        <v>1</v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2</v>
      </c>
      <c r="C75">
        <f t="shared" si="20"/>
        <v>1</v>
      </c>
      <c r="E75">
        <f t="shared" si="21"/>
        <v>5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2</v>
      </c>
      <c r="C76">
        <f t="shared" si="20"/>
        <v>1</v>
      </c>
      <c r="E76">
        <f t="shared" si="21"/>
        <v>10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11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7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5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2</v>
      </c>
      <c r="K80">
        <f>SUM(K68:K79)</f>
        <v>2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>
        <f t="shared" ref="F83:F93" si="26">IF(H5 &gt;= 2, 2, "")</f>
        <v>2</v>
      </c>
      <c r="H83">
        <f t="shared" ref="H83:H93" si="27">IF(H5 &gt;= 2, IF(I5 &gt; 2, 2, I5), "")</f>
        <v>1</v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>
        <f t="shared" si="26"/>
        <v>2</v>
      </c>
      <c r="H87">
        <f t="shared" si="27"/>
        <v>2</v>
      </c>
    </row>
    <row r="88" spans="1:8" x14ac:dyDescent="0.2">
      <c r="B88" t="str">
        <f t="shared" si="24"/>
        <v/>
      </c>
      <c r="D88" t="str">
        <f t="shared" si="25"/>
        <v/>
      </c>
      <c r="F88">
        <f t="shared" si="26"/>
        <v>2</v>
      </c>
      <c r="H88">
        <f t="shared" si="27"/>
        <v>1</v>
      </c>
    </row>
    <row r="89" spans="1:8" x14ac:dyDescent="0.2">
      <c r="B89" t="str">
        <f t="shared" si="24"/>
        <v/>
      </c>
      <c r="D89" t="str">
        <f t="shared" si="25"/>
        <v/>
      </c>
      <c r="F89">
        <f t="shared" si="26"/>
        <v>2</v>
      </c>
      <c r="H89">
        <f t="shared" si="27"/>
        <v>2</v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2</v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1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12</v>
      </c>
      <c r="H94">
        <f>SUM(H82:H93)</f>
        <v>9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/>
  <dimension ref="A1:BN94"/>
  <sheetViews>
    <sheetView workbookViewId="0">
      <selection activeCell="D12" sqref="D1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G4" t="s">
        <v>188</v>
      </c>
      <c r="H4">
        <v>1</v>
      </c>
      <c r="I4">
        <v>1</v>
      </c>
      <c r="J4">
        <v>1</v>
      </c>
      <c r="K4">
        <v>6</v>
      </c>
      <c r="L4">
        <v>1</v>
      </c>
      <c r="M4">
        <v>1</v>
      </c>
      <c r="N4">
        <v>1</v>
      </c>
      <c r="O4">
        <v>5</v>
      </c>
      <c r="P4">
        <v>5</v>
      </c>
      <c r="X4">
        <v>1</v>
      </c>
    </row>
    <row r="5" spans="1:66" x14ac:dyDescent="0.2">
      <c r="A5">
        <v>2</v>
      </c>
      <c r="B5">
        <v>14</v>
      </c>
      <c r="C5">
        <v>1</v>
      </c>
      <c r="G5" t="s">
        <v>188</v>
      </c>
      <c r="H5">
        <v>1</v>
      </c>
      <c r="I5">
        <v>1</v>
      </c>
      <c r="J5">
        <v>2</v>
      </c>
      <c r="K5">
        <v>9</v>
      </c>
      <c r="L5">
        <v>1</v>
      </c>
      <c r="M5">
        <v>1</v>
      </c>
      <c r="N5">
        <v>4</v>
      </c>
      <c r="O5">
        <v>5</v>
      </c>
      <c r="P5">
        <v>4</v>
      </c>
      <c r="Q5">
        <v>1</v>
      </c>
      <c r="R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25</v>
      </c>
      <c r="D6" t="s">
        <v>188</v>
      </c>
      <c r="E6">
        <v>1</v>
      </c>
      <c r="J6">
        <v>5</v>
      </c>
      <c r="K6">
        <v>3</v>
      </c>
      <c r="N6">
        <v>7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34</v>
      </c>
      <c r="C7">
        <v>1</v>
      </c>
      <c r="D7" t="s">
        <v>188</v>
      </c>
      <c r="E7">
        <v>1</v>
      </c>
      <c r="J7">
        <v>5</v>
      </c>
      <c r="K7">
        <v>5</v>
      </c>
      <c r="L7">
        <v>1</v>
      </c>
      <c r="N7">
        <v>4</v>
      </c>
      <c r="O7">
        <v>6</v>
      </c>
      <c r="P7">
        <v>4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43</v>
      </c>
      <c r="G8" t="s">
        <v>188</v>
      </c>
      <c r="H8">
        <v>1</v>
      </c>
      <c r="I8">
        <v>1</v>
      </c>
      <c r="K8">
        <v>12</v>
      </c>
      <c r="L8">
        <v>9</v>
      </c>
      <c r="M8">
        <v>9</v>
      </c>
      <c r="Q8">
        <v>1</v>
      </c>
      <c r="R8">
        <v>1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59</v>
      </c>
      <c r="C9">
        <v>1</v>
      </c>
      <c r="G9" t="s">
        <v>188</v>
      </c>
      <c r="H9">
        <v>1</v>
      </c>
      <c r="I9">
        <v>1</v>
      </c>
      <c r="J9">
        <v>1</v>
      </c>
      <c r="K9">
        <v>7</v>
      </c>
      <c r="O9">
        <v>7</v>
      </c>
      <c r="P9">
        <v>7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70</v>
      </c>
      <c r="C10">
        <v>1</v>
      </c>
      <c r="D10" t="s">
        <v>188</v>
      </c>
      <c r="E10">
        <v>1</v>
      </c>
      <c r="F10">
        <v>1</v>
      </c>
      <c r="J10">
        <v>2</v>
      </c>
      <c r="K10">
        <v>7</v>
      </c>
      <c r="N10">
        <v>2</v>
      </c>
      <c r="O10">
        <v>6</v>
      </c>
      <c r="P10">
        <v>5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79</v>
      </c>
      <c r="D11" t="s">
        <v>185</v>
      </c>
      <c r="E11">
        <v>1</v>
      </c>
      <c r="F11">
        <v>1</v>
      </c>
      <c r="K11">
        <v>5</v>
      </c>
      <c r="O11">
        <v>4</v>
      </c>
      <c r="P11">
        <v>3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85</v>
      </c>
      <c r="D12" t="s">
        <v>188</v>
      </c>
      <c r="E12">
        <v>1</v>
      </c>
      <c r="F12">
        <v>1</v>
      </c>
      <c r="K12">
        <v>2</v>
      </c>
      <c r="L12">
        <v>3</v>
      </c>
      <c r="M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91</v>
      </c>
      <c r="G13" t="s">
        <v>185</v>
      </c>
      <c r="H13">
        <v>1</v>
      </c>
      <c r="I13">
        <v>1</v>
      </c>
      <c r="J13">
        <v>2</v>
      </c>
      <c r="K13">
        <v>2</v>
      </c>
      <c r="N13">
        <v>1</v>
      </c>
      <c r="O13">
        <v>1</v>
      </c>
      <c r="P13">
        <v>1</v>
      </c>
      <c r="Q13">
        <v>2</v>
      </c>
      <c r="R13">
        <v>2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107</v>
      </c>
      <c r="D14" t="s">
        <v>188</v>
      </c>
      <c r="E14">
        <v>1</v>
      </c>
      <c r="J14">
        <v>2</v>
      </c>
      <c r="K14">
        <v>3</v>
      </c>
      <c r="N14">
        <v>3</v>
      </c>
      <c r="O14">
        <v>2</v>
      </c>
      <c r="P14">
        <v>2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114</v>
      </c>
      <c r="D15" t="s">
        <v>185</v>
      </c>
      <c r="E15">
        <v>1</v>
      </c>
      <c r="F15">
        <v>1</v>
      </c>
      <c r="J15">
        <v>5</v>
      </c>
      <c r="K15">
        <v>3</v>
      </c>
      <c r="N15">
        <v>1</v>
      </c>
      <c r="O15">
        <v>7</v>
      </c>
      <c r="P15">
        <v>6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7</v>
      </c>
      <c r="F16">
        <f>SUM(F4:F15)</f>
        <v>4</v>
      </c>
      <c r="H16">
        <f t="shared" ref="H16:P16" si="0">SUM(H4:H15)</f>
        <v>5</v>
      </c>
      <c r="I16">
        <f t="shared" si="0"/>
        <v>5</v>
      </c>
      <c r="J16">
        <f t="shared" si="0"/>
        <v>25</v>
      </c>
      <c r="K16">
        <f t="shared" si="0"/>
        <v>64</v>
      </c>
      <c r="L16">
        <f t="shared" si="0"/>
        <v>15</v>
      </c>
      <c r="M16">
        <f t="shared" si="0"/>
        <v>13</v>
      </c>
      <c r="N16">
        <f t="shared" si="0"/>
        <v>23</v>
      </c>
      <c r="O16">
        <f t="shared" si="0"/>
        <v>43</v>
      </c>
      <c r="P16">
        <f t="shared" si="0"/>
        <v>37</v>
      </c>
      <c r="Q16">
        <f>SUM(Q4:Q15)</f>
        <v>4</v>
      </c>
      <c r="R16">
        <f>SUM(R4:R15)</f>
        <v>4</v>
      </c>
      <c r="S16">
        <f>SUM(S4:S15)</f>
        <v>3</v>
      </c>
      <c r="T16">
        <v>0</v>
      </c>
      <c r="U16">
        <f>SUM(U4:U15)</f>
        <v>8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0.5714285714285714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0.86046511627906974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2.0833333333333335</v>
      </c>
      <c r="O22">
        <f>MEDIAN(I54:I65)</f>
        <v>2</v>
      </c>
      <c r="P22">
        <f>MAX(I54:I65)</f>
        <v>5</v>
      </c>
      <c r="Q22">
        <f>_xlfn.STDEV.S(I54:I65)</f>
        <v>1.9286515936521478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0.4</v>
      </c>
      <c r="F24">
        <f>V66/U66</f>
        <v>1</v>
      </c>
      <c r="I24">
        <f>AVERAGE(A54:A65)</f>
        <v>3.0833333333333335</v>
      </c>
      <c r="J24">
        <f>MAX(A54:A65)</f>
        <v>7</v>
      </c>
      <c r="K24">
        <f>_xlfn.STDEV.S(A54:A65)</f>
        <v>2.466441431158124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5.333333333333333</v>
      </c>
      <c r="O25">
        <f>MEDIAN(K54:K65)</f>
        <v>5</v>
      </c>
      <c r="P25">
        <f>MAX(K54:K65)</f>
        <v>12</v>
      </c>
      <c r="Q25">
        <f>_xlfn.STDEV.S(K54:K65)</f>
        <v>3.0550504633038935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0.33333333333333331</v>
      </c>
      <c r="F26">
        <f>I16/A19</f>
        <v>0.41666666666666669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0.2808988764044944</v>
      </c>
    </row>
    <row r="29" spans="1:66" x14ac:dyDescent="0.2">
      <c r="D29">
        <f>_xlfn.STDEV.S(A68:A79)</f>
        <v>0</v>
      </c>
      <c r="I29">
        <f>AVERAGE(C54:C65)</f>
        <v>0.33333333333333331</v>
      </c>
      <c r="J29">
        <f>MAX(C54:C65)</f>
        <v>2</v>
      </c>
      <c r="K29">
        <f>_xlfn.STDEV.S(C54:C65)</f>
        <v>0.6513389472789296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0.7191011235955056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0.8666666666666667</v>
      </c>
      <c r="L31">
        <f>K80/I80</f>
        <v>0.5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1.0833333333333333</v>
      </c>
      <c r="J34">
        <f>MAX(E54:E65)</f>
        <v>9</v>
      </c>
      <c r="K34">
        <f>_xlfn.STDEV.S(E54:E65)</f>
        <v>2.5746432527221863</v>
      </c>
      <c r="L34">
        <f>AVERAGE(K68:K79)</f>
        <v>0.25</v>
      </c>
      <c r="M34">
        <f>MAX(K68:K79)</f>
        <v>1</v>
      </c>
      <c r="N34">
        <f>_xlfn.STDEV.S(K68:K79)</f>
        <v>0.5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1.9166666666666667</v>
      </c>
      <c r="J37">
        <f>MAX(G54:G65)</f>
        <v>7</v>
      </c>
      <c r="K37">
        <f>_xlfn.STDEV.S(G54:G65)</f>
        <v>2.1933093855190746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0</v>
      </c>
      <c r="E54">
        <f t="shared" ref="E54:E65" si="3">IF(ISBLANK(B4),"",M4)</f>
        <v>1</v>
      </c>
      <c r="G54">
        <f t="shared" ref="G54:G65" si="4">IF(ISBLANK(B4),"",N4)</f>
        <v>1</v>
      </c>
      <c r="I54">
        <f t="shared" ref="I54:I65" si="5">IF(ISBLANK(B4),"",J4)</f>
        <v>1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1</v>
      </c>
      <c r="E55">
        <f t="shared" si="3"/>
        <v>1</v>
      </c>
      <c r="G55">
        <f t="shared" si="4"/>
        <v>4</v>
      </c>
      <c r="I55">
        <f t="shared" si="5"/>
        <v>2</v>
      </c>
      <c r="K55">
        <f t="shared" si="6"/>
        <v>9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7</v>
      </c>
      <c r="I56">
        <f t="shared" si="5"/>
        <v>5</v>
      </c>
      <c r="K56">
        <f t="shared" si="6"/>
        <v>3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0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0</v>
      </c>
      <c r="E57">
        <f t="shared" si="3"/>
        <v>0</v>
      </c>
      <c r="G57">
        <f t="shared" si="4"/>
        <v>4</v>
      </c>
      <c r="I57">
        <f t="shared" si="5"/>
        <v>5</v>
      </c>
      <c r="K57">
        <f t="shared" si="6"/>
        <v>5</v>
      </c>
      <c r="N57" t="str">
        <f t="shared" si="7"/>
        <v/>
      </c>
      <c r="O57" t="str">
        <f t="shared" si="8"/>
        <v/>
      </c>
      <c r="P57">
        <f t="shared" si="9"/>
        <v>1</v>
      </c>
      <c r="Q57">
        <f t="shared" si="10"/>
        <v>0</v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1</v>
      </c>
      <c r="E58">
        <f t="shared" si="3"/>
        <v>9</v>
      </c>
      <c r="G58">
        <f t="shared" si="4"/>
        <v>0</v>
      </c>
      <c r="I58">
        <f t="shared" si="5"/>
        <v>0</v>
      </c>
      <c r="K58">
        <f t="shared" si="6"/>
        <v>12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7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7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5</v>
      </c>
      <c r="C60">
        <f t="shared" si="2"/>
        <v>0</v>
      </c>
      <c r="E60">
        <f t="shared" si="3"/>
        <v>0</v>
      </c>
      <c r="G60">
        <f t="shared" si="4"/>
        <v>2</v>
      </c>
      <c r="I60">
        <f t="shared" si="5"/>
        <v>2</v>
      </c>
      <c r="K60">
        <f t="shared" si="6"/>
        <v>7</v>
      </c>
      <c r="N60" t="str">
        <f t="shared" si="7"/>
        <v/>
      </c>
      <c r="O60" t="str">
        <f t="shared" si="8"/>
        <v/>
      </c>
      <c r="P60">
        <f t="shared" si="9"/>
        <v>1</v>
      </c>
      <c r="Q60">
        <f t="shared" si="10"/>
        <v>1</v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5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2</v>
      </c>
      <c r="G62">
        <f t="shared" si="4"/>
        <v>0</v>
      </c>
      <c r="I62">
        <f t="shared" si="5"/>
        <v>0</v>
      </c>
      <c r="K62">
        <f t="shared" si="6"/>
        <v>2</v>
      </c>
      <c r="N62" t="str">
        <f t="shared" si="7"/>
        <v/>
      </c>
      <c r="O62" t="str">
        <f t="shared" si="8"/>
        <v/>
      </c>
      <c r="P62">
        <f t="shared" si="9"/>
        <v>1</v>
      </c>
      <c r="Q62">
        <f t="shared" si="10"/>
        <v>1</v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1</v>
      </c>
      <c r="C63">
        <f t="shared" si="2"/>
        <v>2</v>
      </c>
      <c r="E63">
        <f t="shared" si="3"/>
        <v>0</v>
      </c>
      <c r="G63">
        <f t="shared" si="4"/>
        <v>1</v>
      </c>
      <c r="I63">
        <f t="shared" si="5"/>
        <v>2</v>
      </c>
      <c r="K63">
        <f t="shared" si="6"/>
        <v>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2</v>
      </c>
      <c r="C64">
        <f t="shared" si="2"/>
        <v>0</v>
      </c>
      <c r="E64">
        <f t="shared" si="3"/>
        <v>0</v>
      </c>
      <c r="G64">
        <f t="shared" si="4"/>
        <v>3</v>
      </c>
      <c r="I64">
        <f t="shared" si="5"/>
        <v>2</v>
      </c>
      <c r="K64">
        <f t="shared" si="6"/>
        <v>3</v>
      </c>
      <c r="N64" t="str">
        <f t="shared" si="7"/>
        <v/>
      </c>
      <c r="O64" t="str">
        <f t="shared" si="8"/>
        <v/>
      </c>
      <c r="P64">
        <f t="shared" si="9"/>
        <v>1</v>
      </c>
      <c r="Q64">
        <f t="shared" si="10"/>
        <v>0</v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6</v>
      </c>
      <c r="C65">
        <f t="shared" si="2"/>
        <v>0</v>
      </c>
      <c r="E65">
        <f t="shared" si="3"/>
        <v>0</v>
      </c>
      <c r="G65">
        <f t="shared" si="4"/>
        <v>1</v>
      </c>
      <c r="I65">
        <f t="shared" si="5"/>
        <v>5</v>
      </c>
      <c r="K65">
        <f t="shared" si="6"/>
        <v>3</v>
      </c>
      <c r="N65">
        <f t="shared" si="7"/>
        <v>1</v>
      </c>
      <c r="O65">
        <f t="shared" si="8"/>
        <v>1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2</v>
      </c>
      <c r="P66">
        <f>SUM(P54:P65)</f>
        <v>5</v>
      </c>
      <c r="Q66">
        <f>SUM(Q54:Q65)</f>
        <v>2</v>
      </c>
      <c r="S66">
        <f>SUM(S54:S65)</f>
        <v>1</v>
      </c>
      <c r="T66">
        <f>SUM(T54:T65)</f>
        <v>1</v>
      </c>
      <c r="U66">
        <f>SUM(U54:U65)</f>
        <v>4</v>
      </c>
      <c r="V66">
        <f>SUM(V54:V65)</f>
        <v>4</v>
      </c>
      <c r="Y66">
        <f>SUM(Y54:Y65)</f>
        <v>8</v>
      </c>
      <c r="AA66">
        <f>SUM(AA54:AA65)</f>
        <v>8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7</v>
      </c>
      <c r="G68">
        <f>AVERAGE(E68:E79)</f>
        <v>5.25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7</v>
      </c>
      <c r="I69">
        <f t="shared" ref="I69:I79" si="22">IF(ISBLANK(B5)+ISBLANK(C5), "", L5)</f>
        <v>1</v>
      </c>
      <c r="K69">
        <f t="shared" ref="K69:K79" si="23">IF(ISBLANK(B5)+ISBLANK(C5), "", M5)</f>
        <v>1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0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4</v>
      </c>
      <c r="I71">
        <f t="shared" si="22"/>
        <v>1</v>
      </c>
      <c r="K71">
        <f t="shared" si="23"/>
        <v>0</v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11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8</v>
      </c>
      <c r="I73">
        <f t="shared" si="22"/>
        <v>0</v>
      </c>
      <c r="K73">
        <f t="shared" si="23"/>
        <v>0</v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6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2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</v>
      </c>
      <c r="K80">
        <f>SUM(K68:K79)</f>
        <v>1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BN94"/>
  <sheetViews>
    <sheetView topLeftCell="V1" workbookViewId="0">
      <selection activeCell="W9" sqref="W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C4">
        <v>1</v>
      </c>
      <c r="G4" t="s">
        <v>185</v>
      </c>
      <c r="H4">
        <v>1</v>
      </c>
      <c r="I4">
        <v>1</v>
      </c>
      <c r="K4">
        <v>7</v>
      </c>
      <c r="L4">
        <v>7</v>
      </c>
      <c r="M4">
        <v>7</v>
      </c>
      <c r="X4">
        <v>1</v>
      </c>
    </row>
    <row r="5" spans="1:66" x14ac:dyDescent="0.2">
      <c r="A5">
        <v>2</v>
      </c>
      <c r="B5">
        <v>16</v>
      </c>
      <c r="C5">
        <v>1</v>
      </c>
      <c r="K5">
        <v>7</v>
      </c>
      <c r="L5">
        <v>7</v>
      </c>
      <c r="M5">
        <v>7</v>
      </c>
      <c r="X5">
        <v>1</v>
      </c>
    </row>
    <row r="6" spans="1:66" x14ac:dyDescent="0.2">
      <c r="A6">
        <v>3</v>
      </c>
      <c r="B6">
        <v>24</v>
      </c>
      <c r="G6" t="s">
        <v>185</v>
      </c>
      <c r="H6">
        <v>1</v>
      </c>
      <c r="I6">
        <v>1</v>
      </c>
      <c r="K6">
        <v>7</v>
      </c>
      <c r="L6">
        <v>6</v>
      </c>
      <c r="M6">
        <v>6</v>
      </c>
      <c r="Q6">
        <v>1</v>
      </c>
      <c r="R6">
        <v>1</v>
      </c>
      <c r="X6">
        <v>1</v>
      </c>
    </row>
    <row r="7" spans="1:66" x14ac:dyDescent="0.2">
      <c r="A7">
        <v>4</v>
      </c>
      <c r="B7">
        <v>32</v>
      </c>
      <c r="G7" t="s">
        <v>185</v>
      </c>
      <c r="H7">
        <v>1</v>
      </c>
      <c r="I7">
        <v>1</v>
      </c>
      <c r="K7">
        <v>3</v>
      </c>
      <c r="L7">
        <v>3</v>
      </c>
      <c r="M7">
        <v>3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49</v>
      </c>
      <c r="G8" t="s">
        <v>185</v>
      </c>
      <c r="H8">
        <v>1</v>
      </c>
      <c r="I8">
        <v>1</v>
      </c>
      <c r="K8">
        <v>9</v>
      </c>
      <c r="L8">
        <v>8</v>
      </c>
      <c r="M8">
        <v>7</v>
      </c>
      <c r="Q8">
        <v>1</v>
      </c>
      <c r="R8">
        <v>1</v>
      </c>
      <c r="X8">
        <v>1</v>
      </c>
    </row>
    <row r="9" spans="1:66" x14ac:dyDescent="0.2">
      <c r="A9">
        <v>6</v>
      </c>
      <c r="B9">
        <v>56</v>
      </c>
      <c r="C9">
        <v>1</v>
      </c>
      <c r="J9">
        <v>3</v>
      </c>
      <c r="N9">
        <v>3</v>
      </c>
      <c r="S9">
        <v>1</v>
      </c>
      <c r="T9">
        <v>1</v>
      </c>
    </row>
    <row r="10" spans="1:66" x14ac:dyDescent="0.2">
      <c r="A10">
        <v>7</v>
      </c>
      <c r="B10">
        <v>70</v>
      </c>
      <c r="K10">
        <v>4</v>
      </c>
      <c r="L10">
        <v>5</v>
      </c>
      <c r="M10">
        <v>5</v>
      </c>
    </row>
    <row r="11" spans="1:66" x14ac:dyDescent="0.2">
      <c r="A11">
        <v>8</v>
      </c>
      <c r="B11">
        <v>78</v>
      </c>
      <c r="K11">
        <v>10</v>
      </c>
      <c r="L11">
        <v>9</v>
      </c>
      <c r="M11">
        <v>9</v>
      </c>
      <c r="Q11">
        <v>2</v>
      </c>
      <c r="R11">
        <v>2</v>
      </c>
      <c r="X11">
        <v>1</v>
      </c>
    </row>
    <row r="12" spans="1:66" x14ac:dyDescent="0.2">
      <c r="A12">
        <v>9</v>
      </c>
      <c r="B12">
        <v>84</v>
      </c>
      <c r="K12">
        <v>3</v>
      </c>
      <c r="N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96</v>
      </c>
      <c r="G13" t="s">
        <v>185</v>
      </c>
      <c r="H13">
        <v>1</v>
      </c>
      <c r="I13">
        <v>1</v>
      </c>
      <c r="K13">
        <v>5</v>
      </c>
      <c r="L13">
        <v>5</v>
      </c>
      <c r="M13">
        <v>5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108</v>
      </c>
      <c r="G14" t="s">
        <v>185</v>
      </c>
      <c r="H14">
        <v>1</v>
      </c>
      <c r="I14">
        <v>1</v>
      </c>
      <c r="K14">
        <v>4</v>
      </c>
      <c r="O14">
        <v>4</v>
      </c>
      <c r="P14">
        <v>1</v>
      </c>
      <c r="X14">
        <v>1</v>
      </c>
    </row>
    <row r="15" spans="1:66" x14ac:dyDescent="0.2">
      <c r="A15">
        <v>12</v>
      </c>
      <c r="B15">
        <v>115</v>
      </c>
      <c r="C15">
        <v>1</v>
      </c>
      <c r="K15">
        <v>6</v>
      </c>
      <c r="L15">
        <v>4</v>
      </c>
      <c r="M15">
        <v>3</v>
      </c>
      <c r="Q15">
        <v>1</v>
      </c>
      <c r="R15">
        <v>1</v>
      </c>
      <c r="S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6</v>
      </c>
      <c r="I16">
        <f t="shared" si="0"/>
        <v>6</v>
      </c>
      <c r="J16">
        <f t="shared" si="0"/>
        <v>3</v>
      </c>
      <c r="K16">
        <f t="shared" si="0"/>
        <v>65</v>
      </c>
      <c r="L16">
        <f t="shared" si="0"/>
        <v>54</v>
      </c>
      <c r="M16">
        <f t="shared" si="0"/>
        <v>52</v>
      </c>
      <c r="N16">
        <f t="shared" si="0"/>
        <v>5</v>
      </c>
      <c r="O16">
        <f t="shared" si="0"/>
        <v>4</v>
      </c>
      <c r="P16">
        <f t="shared" si="0"/>
        <v>1</v>
      </c>
      <c r="Q16">
        <f>SUM(Q4:Q15)</f>
        <v>5</v>
      </c>
      <c r="R16">
        <f>SUM(R4:R15)</f>
        <v>5</v>
      </c>
      <c r="S16">
        <f>SUM(S4:S15)</f>
        <v>5</v>
      </c>
      <c r="T16">
        <v>0</v>
      </c>
      <c r="U16">
        <f>SUM(U4:U15)</f>
        <v>0</v>
      </c>
      <c r="V16">
        <f>SUM(V4:V15)</f>
        <v>0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0.25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0.25</v>
      </c>
      <c r="O22">
        <f>MEDIAN(I54:I65)</f>
        <v>0</v>
      </c>
      <c r="P22">
        <f>MAX(I54:I65)</f>
        <v>3</v>
      </c>
      <c r="Q22">
        <f>_xlfn.STDEV.S(I54:I65)</f>
        <v>0.8660254037844386</v>
      </c>
      <c r="S22" t="e">
        <f>V16/U16</f>
        <v>#DIV/0!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8.3333333333333329E-2</v>
      </c>
      <c r="J24">
        <f>MAX(A54:A65)</f>
        <v>1</v>
      </c>
      <c r="K24">
        <f>_xlfn.STDEV.S(A54:A65)</f>
        <v>0.28867513459481287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5.416666666666667</v>
      </c>
      <c r="O25">
        <f>MEDIAN(K54:K65)</f>
        <v>5.5</v>
      </c>
      <c r="P25">
        <f>MAX(K54:K65)</f>
        <v>10</v>
      </c>
      <c r="Q25">
        <f>_xlfn.STDEV.S(K54:K65)</f>
        <v>2.8109633849474371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4.4117647058823532E-2</v>
      </c>
    </row>
    <row r="29" spans="1:66" x14ac:dyDescent="0.2">
      <c r="D29">
        <f>_xlfn.STDEV.S(A68:A79)</f>
        <v>0</v>
      </c>
      <c r="I29">
        <f>AVERAGE(C54:C65)</f>
        <v>0.41666666666666669</v>
      </c>
      <c r="J29">
        <f>MAX(C54:C65)</f>
        <v>2</v>
      </c>
      <c r="K29">
        <f>_xlfn.STDEV.S(C54:C65)</f>
        <v>0.66855792342152143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0.95588235294117652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0.96296296296296291</v>
      </c>
      <c r="L31">
        <f>K80/I80</f>
        <v>0.94444444444444442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4.333333333333333</v>
      </c>
      <c r="J34">
        <f>MAX(E54:E65)</f>
        <v>9</v>
      </c>
      <c r="K34">
        <f>_xlfn.STDEV.S(E54:E65)</f>
        <v>3.1139957766460915</v>
      </c>
      <c r="L34">
        <f>AVERAGE(K68:K79)</f>
        <v>4.25</v>
      </c>
      <c r="M34">
        <f>MAX(K68:K79)</f>
        <v>7</v>
      </c>
      <c r="N34">
        <f>_xlfn.STDEV.S(K68:K79)</f>
        <v>3.4034296427770228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0.41666666666666669</v>
      </c>
      <c r="J37">
        <f>MAX(G54:G65)</f>
        <v>3</v>
      </c>
      <c r="K37">
        <f>_xlfn.STDEV.S(G54:G65)</f>
        <v>0.99620491989562188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7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7</v>
      </c>
      <c r="G55">
        <f t="shared" si="4"/>
        <v>0</v>
      </c>
      <c r="I55">
        <f t="shared" si="5"/>
        <v>0</v>
      </c>
      <c r="K55">
        <f t="shared" si="6"/>
        <v>7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6</v>
      </c>
      <c r="G56">
        <f t="shared" si="4"/>
        <v>0</v>
      </c>
      <c r="I56">
        <f t="shared" si="5"/>
        <v>0</v>
      </c>
      <c r="K56">
        <f t="shared" si="6"/>
        <v>7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1</v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3</v>
      </c>
      <c r="G57">
        <f t="shared" si="4"/>
        <v>0</v>
      </c>
      <c r="I57">
        <f t="shared" si="5"/>
        <v>0</v>
      </c>
      <c r="K57">
        <f t="shared" si="6"/>
        <v>3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1</v>
      </c>
      <c r="E58">
        <f t="shared" si="3"/>
        <v>7</v>
      </c>
      <c r="G58">
        <f t="shared" si="4"/>
        <v>0</v>
      </c>
      <c r="I58">
        <f t="shared" si="5"/>
        <v>0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0</v>
      </c>
      <c r="G59">
        <f t="shared" si="4"/>
        <v>3</v>
      </c>
      <c r="I59">
        <f t="shared" si="5"/>
        <v>3</v>
      </c>
      <c r="K59">
        <f t="shared" si="6"/>
        <v>0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5</v>
      </c>
      <c r="G60">
        <f t="shared" si="4"/>
        <v>0</v>
      </c>
      <c r="I60">
        <f t="shared" si="5"/>
        <v>0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9</v>
      </c>
      <c r="G61">
        <f t="shared" si="4"/>
        <v>0</v>
      </c>
      <c r="I61">
        <f t="shared" si="5"/>
        <v>0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0</v>
      </c>
      <c r="G62">
        <f t="shared" si="4"/>
        <v>2</v>
      </c>
      <c r="I62">
        <f t="shared" si="5"/>
        <v>0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5</v>
      </c>
      <c r="G63">
        <f t="shared" si="4"/>
        <v>0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3</v>
      </c>
      <c r="G65">
        <f t="shared" si="4"/>
        <v>0</v>
      </c>
      <c r="I65">
        <f t="shared" si="5"/>
        <v>0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6</v>
      </c>
      <c r="T66">
        <f>SUM(T54:T65)</f>
        <v>6</v>
      </c>
      <c r="U66">
        <f>SUM(U54:U65)</f>
        <v>0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8</v>
      </c>
      <c r="G68">
        <f>AVERAGE(E68:E79)</f>
        <v>5.333333333333333</v>
      </c>
      <c r="I68">
        <f>IF(ISBLANK(B4)+ISBLANK(C4), "", L4)</f>
        <v>7</v>
      </c>
      <c r="K68">
        <f>IF(ISBLANK(B4)+ISBLANK(C4), "", M4)</f>
        <v>7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7</v>
      </c>
      <c r="I69">
        <f t="shared" ref="I69:I79" si="22">IF(ISBLANK(B5)+ISBLANK(C5), "", L5)</f>
        <v>7</v>
      </c>
      <c r="K69">
        <f t="shared" ref="K69:K79" si="23">IF(ISBLANK(B5)+ISBLANK(C5), "", M5)</f>
        <v>7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8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9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0</v>
      </c>
      <c r="I73">
        <f t="shared" si="22"/>
        <v>0</v>
      </c>
      <c r="K73">
        <f t="shared" si="23"/>
        <v>0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11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0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2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4</v>
      </c>
      <c r="I79">
        <f t="shared" si="22"/>
        <v>4</v>
      </c>
      <c r="K79">
        <f t="shared" si="23"/>
        <v>3</v>
      </c>
    </row>
    <row r="80" spans="1:31" x14ac:dyDescent="0.2">
      <c r="H80" t="s">
        <v>168</v>
      </c>
      <c r="I80">
        <f>SUM(I68:I79)</f>
        <v>18</v>
      </c>
      <c r="K80">
        <f>SUM(K68:K79)</f>
        <v>17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5</v>
      </c>
      <c r="G4" t="s">
        <v>188</v>
      </c>
      <c r="H4">
        <v>2</v>
      </c>
      <c r="I4">
        <v>2</v>
      </c>
      <c r="K4">
        <v>5</v>
      </c>
      <c r="O4">
        <v>5</v>
      </c>
      <c r="P4">
        <v>5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11</v>
      </c>
      <c r="C5">
        <v>1</v>
      </c>
      <c r="D5" t="s">
        <v>185</v>
      </c>
      <c r="E5">
        <v>2</v>
      </c>
      <c r="F5">
        <v>2</v>
      </c>
      <c r="J5">
        <v>2</v>
      </c>
      <c r="K5">
        <v>3</v>
      </c>
      <c r="O5">
        <v>3</v>
      </c>
      <c r="P5">
        <v>3</v>
      </c>
      <c r="Q5">
        <v>1</v>
      </c>
      <c r="R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25</v>
      </c>
      <c r="C6">
        <v>1</v>
      </c>
      <c r="D6" t="s">
        <v>188</v>
      </c>
      <c r="E6">
        <v>1</v>
      </c>
      <c r="F6">
        <v>1</v>
      </c>
      <c r="K6">
        <v>5</v>
      </c>
      <c r="O6">
        <v>4</v>
      </c>
      <c r="P6">
        <v>4</v>
      </c>
      <c r="Q6">
        <v>1</v>
      </c>
      <c r="R6">
        <v>1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33</v>
      </c>
      <c r="G7" t="s">
        <v>188</v>
      </c>
      <c r="H7">
        <v>2</v>
      </c>
      <c r="I7">
        <v>2</v>
      </c>
      <c r="K7">
        <v>7</v>
      </c>
      <c r="L7">
        <v>3</v>
      </c>
      <c r="M7">
        <v>3</v>
      </c>
      <c r="Q7">
        <v>4</v>
      </c>
      <c r="R7">
        <v>4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48</v>
      </c>
      <c r="C8">
        <v>1</v>
      </c>
      <c r="D8" t="s">
        <v>188</v>
      </c>
      <c r="E8">
        <v>1</v>
      </c>
      <c r="G8" t="s">
        <v>188</v>
      </c>
      <c r="H8">
        <v>1</v>
      </c>
      <c r="J8">
        <v>1</v>
      </c>
      <c r="K8">
        <v>5</v>
      </c>
      <c r="O8">
        <v>6</v>
      </c>
      <c r="P8">
        <v>6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60</v>
      </c>
      <c r="D9" t="s">
        <v>185</v>
      </c>
      <c r="E9">
        <v>2</v>
      </c>
      <c r="F9">
        <v>2</v>
      </c>
      <c r="J9">
        <v>2</v>
      </c>
      <c r="K9">
        <v>3</v>
      </c>
      <c r="O9">
        <v>5</v>
      </c>
      <c r="P9">
        <v>5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69</v>
      </c>
      <c r="G10" t="s">
        <v>185</v>
      </c>
      <c r="H10">
        <v>2</v>
      </c>
      <c r="I10">
        <v>1</v>
      </c>
      <c r="J10">
        <v>2</v>
      </c>
      <c r="K10">
        <v>6</v>
      </c>
      <c r="O10">
        <v>7</v>
      </c>
      <c r="P10">
        <v>6</v>
      </c>
      <c r="U10">
        <v>1</v>
      </c>
      <c r="W10" t="s">
        <v>186</v>
      </c>
      <c r="X10">
        <v>1</v>
      </c>
    </row>
    <row r="11" spans="1:66" x14ac:dyDescent="0.2">
      <c r="A11">
        <v>8</v>
      </c>
      <c r="B11">
        <v>79</v>
      </c>
      <c r="D11" t="s">
        <v>188</v>
      </c>
      <c r="E11">
        <v>1</v>
      </c>
      <c r="F11">
        <v>1</v>
      </c>
      <c r="J11">
        <v>1</v>
      </c>
      <c r="K11">
        <v>4</v>
      </c>
      <c r="O11">
        <v>5</v>
      </c>
      <c r="P11">
        <v>5</v>
      </c>
      <c r="S11">
        <v>1</v>
      </c>
      <c r="T11">
        <v>1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89</v>
      </c>
      <c r="D12" t="s">
        <v>188</v>
      </c>
      <c r="E12">
        <v>1</v>
      </c>
      <c r="K12">
        <v>8</v>
      </c>
      <c r="O12">
        <v>8</v>
      </c>
      <c r="P12">
        <v>7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94</v>
      </c>
      <c r="D13" t="s">
        <v>188</v>
      </c>
      <c r="E13">
        <v>1</v>
      </c>
      <c r="F13">
        <v>1</v>
      </c>
      <c r="K13">
        <v>7</v>
      </c>
      <c r="O13">
        <v>7</v>
      </c>
      <c r="P13">
        <v>7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101</v>
      </c>
      <c r="D14" t="s">
        <v>188</v>
      </c>
      <c r="E14">
        <v>1</v>
      </c>
      <c r="F14">
        <v>1</v>
      </c>
      <c r="J14">
        <v>2</v>
      </c>
      <c r="K14">
        <v>3</v>
      </c>
      <c r="N14">
        <v>1</v>
      </c>
      <c r="O14">
        <v>3</v>
      </c>
      <c r="P14">
        <v>3</v>
      </c>
      <c r="Q14">
        <v>1</v>
      </c>
      <c r="R14">
        <v>1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120</v>
      </c>
      <c r="C15">
        <v>1</v>
      </c>
      <c r="D15" t="s">
        <v>188</v>
      </c>
      <c r="E15">
        <v>1</v>
      </c>
      <c r="K15">
        <v>8</v>
      </c>
      <c r="O15">
        <v>7</v>
      </c>
      <c r="P15">
        <v>6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11</v>
      </c>
      <c r="F16">
        <f>SUM(F4:F15)</f>
        <v>8</v>
      </c>
      <c r="H16">
        <f t="shared" ref="H16:P16" si="0">SUM(H4:H15)</f>
        <v>7</v>
      </c>
      <c r="I16">
        <f t="shared" si="0"/>
        <v>5</v>
      </c>
      <c r="J16">
        <f t="shared" si="0"/>
        <v>10</v>
      </c>
      <c r="K16">
        <f t="shared" si="0"/>
        <v>64</v>
      </c>
      <c r="L16">
        <f t="shared" si="0"/>
        <v>3</v>
      </c>
      <c r="M16">
        <f t="shared" si="0"/>
        <v>3</v>
      </c>
      <c r="N16">
        <f t="shared" si="0"/>
        <v>1</v>
      </c>
      <c r="O16">
        <f t="shared" si="0"/>
        <v>60</v>
      </c>
      <c r="P16">
        <f t="shared" si="0"/>
        <v>57</v>
      </c>
      <c r="Q16">
        <f>SUM(Q4:Q15)</f>
        <v>7</v>
      </c>
      <c r="R16">
        <f>SUM(R4:R15)</f>
        <v>7</v>
      </c>
      <c r="S16">
        <f>SUM(S4:S15)</f>
        <v>2</v>
      </c>
      <c r="T16">
        <v>0</v>
      </c>
      <c r="U16">
        <f>SUM(U4:U15)</f>
        <v>11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0.66666666666666663</v>
      </c>
      <c r="F20">
        <f>COUNT(I4:I15)/COUNT(H4:H15)</f>
        <v>0.75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0.95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0.5</v>
      </c>
      <c r="I22" t="s">
        <v>23</v>
      </c>
      <c r="N22">
        <f>AVERAGE(I54:I65)</f>
        <v>0.83333333333333337</v>
      </c>
      <c r="O22">
        <f>MEDIAN(I54:I65)</f>
        <v>0.5</v>
      </c>
      <c r="P22">
        <f>MAX(I54:I65)</f>
        <v>2</v>
      </c>
      <c r="Q22">
        <f>_xlfn.STDEV.S(I54:I65)</f>
        <v>0.93743686656109204</v>
      </c>
      <c r="S22">
        <f>V16/U16</f>
        <v>0.72727272727272729</v>
      </c>
      <c r="U22">
        <f>AA66/Y66</f>
        <v>0.72727272727272729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0.5714285714285714</v>
      </c>
      <c r="F24">
        <f>V66/U66</f>
        <v>0.8</v>
      </c>
      <c r="I24">
        <f>AVERAGE(A54:A65)</f>
        <v>4.75</v>
      </c>
      <c r="J24">
        <f>MAX(A54:A65)</f>
        <v>7</v>
      </c>
      <c r="K24">
        <f>_xlfn.STDEV.S(A54:A65)</f>
        <v>2.0056737702645644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5.333333333333333</v>
      </c>
      <c r="O25">
        <f>MEDIAN(K54:K65)</f>
        <v>5</v>
      </c>
      <c r="P25">
        <f>MAX(K54:K65)</f>
        <v>8</v>
      </c>
      <c r="Q25">
        <f>_xlfn.STDEV.S(K54:K65)</f>
        <v>1.8748737331221847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0.66666666666666663</v>
      </c>
      <c r="F26">
        <f>I16/A19</f>
        <v>0.41666666666666669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0.13513513513513514</v>
      </c>
    </row>
    <row r="29" spans="1:66" x14ac:dyDescent="0.2">
      <c r="D29">
        <f>_xlfn.STDEV.S(A68:A79)</f>
        <v>0.9574271077563381</v>
      </c>
      <c r="I29">
        <f>AVERAGE(C54:C65)</f>
        <v>0.58333333333333337</v>
      </c>
      <c r="J29">
        <f>MAX(C54:C65)</f>
        <v>4</v>
      </c>
      <c r="K29">
        <f>_xlfn.STDEV.S(C54:C65)</f>
        <v>1.164500152881315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0.86486486486486491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>
        <f>D94/B94</f>
        <v>1</v>
      </c>
      <c r="F32">
        <f>H94/F94</f>
        <v>0.83333333333333337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0.25</v>
      </c>
      <c r="J34">
        <f>MAX(E54:E65)</f>
        <v>3</v>
      </c>
      <c r="K34">
        <f>_xlfn.STDEV.S(E54:E65)</f>
        <v>0.8660254037844386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8.3333333333333329E-2</v>
      </c>
      <c r="J37">
        <f>MAX(G54:G65)</f>
        <v>1</v>
      </c>
      <c r="K37">
        <f>_xlfn.STDEV.S(G54:G65)</f>
        <v>0.28867513459481287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2</v>
      </c>
      <c r="V54">
        <f t="shared" ref="V54:V65" si="14">IF($G4="i", $I4, "")</f>
        <v>2</v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2</v>
      </c>
      <c r="K55">
        <f t="shared" si="6"/>
        <v>3</v>
      </c>
      <c r="N55">
        <f t="shared" si="7"/>
        <v>2</v>
      </c>
      <c r="O55">
        <f t="shared" si="8"/>
        <v>2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5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1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4</v>
      </c>
      <c r="E57">
        <f t="shared" si="3"/>
        <v>3</v>
      </c>
      <c r="G57">
        <f t="shared" si="4"/>
        <v>0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2</v>
      </c>
      <c r="V57">
        <f t="shared" si="14"/>
        <v>2</v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6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>
        <f t="shared" si="9"/>
        <v>1</v>
      </c>
      <c r="Q58">
        <f t="shared" si="10"/>
        <v>0</v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0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5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2</v>
      </c>
      <c r="K59">
        <f t="shared" si="6"/>
        <v>3</v>
      </c>
      <c r="N59">
        <f t="shared" si="7"/>
        <v>2</v>
      </c>
      <c r="O59">
        <f t="shared" si="8"/>
        <v>2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6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2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2</v>
      </c>
      <c r="T60">
        <f t="shared" si="12"/>
        <v>1</v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5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1</v>
      </c>
      <c r="K61">
        <f t="shared" si="6"/>
        <v>4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7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>
        <f t="shared" si="9"/>
        <v>1</v>
      </c>
      <c r="Q62">
        <f t="shared" si="10"/>
        <v>0</v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7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7</v>
      </c>
      <c r="N63" t="str">
        <f t="shared" si="7"/>
        <v/>
      </c>
      <c r="O63" t="str">
        <f t="shared" si="8"/>
        <v/>
      </c>
      <c r="P63">
        <f t="shared" si="9"/>
        <v>1</v>
      </c>
      <c r="Q63">
        <f t="shared" si="10"/>
        <v>1</v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3</v>
      </c>
      <c r="C64">
        <f t="shared" si="2"/>
        <v>1</v>
      </c>
      <c r="E64">
        <f t="shared" si="3"/>
        <v>0</v>
      </c>
      <c r="G64">
        <f t="shared" si="4"/>
        <v>1</v>
      </c>
      <c r="I64">
        <f t="shared" si="5"/>
        <v>2</v>
      </c>
      <c r="K64">
        <f t="shared" si="6"/>
        <v>3</v>
      </c>
      <c r="N64" t="str">
        <f t="shared" si="7"/>
        <v/>
      </c>
      <c r="O64" t="str">
        <f t="shared" si="8"/>
        <v/>
      </c>
      <c r="P64">
        <f t="shared" si="9"/>
        <v>1</v>
      </c>
      <c r="Q64">
        <f t="shared" si="10"/>
        <v>1</v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6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8</v>
      </c>
      <c r="N65" t="str">
        <f t="shared" si="7"/>
        <v/>
      </c>
      <c r="O65" t="str">
        <f t="shared" si="8"/>
        <v/>
      </c>
      <c r="P65">
        <f t="shared" si="9"/>
        <v>1</v>
      </c>
      <c r="Q65">
        <f t="shared" si="10"/>
        <v>0</v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4</v>
      </c>
      <c r="O66">
        <f>SUM(O54:O65)</f>
        <v>4</v>
      </c>
      <c r="P66">
        <f>SUM(P54:P65)</f>
        <v>7</v>
      </c>
      <c r="Q66">
        <f>SUM(Q54:Q65)</f>
        <v>4</v>
      </c>
      <c r="S66">
        <f>SUM(S54:S65)</f>
        <v>2</v>
      </c>
      <c r="T66">
        <f>SUM(T54:T65)</f>
        <v>1</v>
      </c>
      <c r="U66">
        <f>SUM(U54:U65)</f>
        <v>5</v>
      </c>
      <c r="V66">
        <f>SUM(V54:V65)</f>
        <v>4</v>
      </c>
      <c r="Y66">
        <f>SUM(Y54:Y65)</f>
        <v>11</v>
      </c>
      <c r="AA66">
        <f>SUM(AA54:AA65)</f>
        <v>8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2</v>
      </c>
      <c r="C68">
        <f t="shared" ref="C68:C79" si="20">IF(ISBLANK(B4),"",V4)</f>
        <v>1</v>
      </c>
      <c r="E68">
        <f t="shared" ref="E68:E79" si="21">IF(ISBLANK(B4), "", SUM(F4, I4, M4, P4, R4))</f>
        <v>7</v>
      </c>
      <c r="G68">
        <f>AVERAGE(E68:E79)</f>
        <v>6.666666666666667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6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6</v>
      </c>
      <c r="I70">
        <f t="shared" si="22"/>
        <v>0</v>
      </c>
      <c r="K70">
        <f t="shared" si="23"/>
        <v>0</v>
      </c>
    </row>
    <row r="71" spans="1:31" x14ac:dyDescent="0.2">
      <c r="A71">
        <f t="shared" si="19"/>
        <v>2</v>
      </c>
      <c r="C71">
        <f t="shared" si="20"/>
        <v>1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0</v>
      </c>
      <c r="C72">
        <f t="shared" si="20"/>
        <v>1</v>
      </c>
      <c r="E72">
        <f t="shared" si="21"/>
        <v>6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7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6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7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8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5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6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>
        <f>IF(H4 &gt;= 2, 2, "")</f>
        <v>2</v>
      </c>
      <c r="H82">
        <f>IF(H4 &gt;= 2, IF(I4 &gt; 2, 2, I4), "")</f>
        <v>2</v>
      </c>
    </row>
    <row r="83" spans="1:8" x14ac:dyDescent="0.2">
      <c r="B83">
        <f t="shared" ref="B83:B93" si="24">IF(E5 &gt;= 2, 2, "")</f>
        <v>2</v>
      </c>
      <c r="D83">
        <f t="shared" ref="D83:D93" si="25">IF(E5 &gt;= 2, IF(F5 &gt; 2, 2, F5), "")</f>
        <v>2</v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>
        <f t="shared" si="26"/>
        <v>2</v>
      </c>
      <c r="H85">
        <f t="shared" si="27"/>
        <v>2</v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>
        <f t="shared" si="24"/>
        <v>2</v>
      </c>
      <c r="D87">
        <f t="shared" si="25"/>
        <v>2</v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>
        <f t="shared" si="26"/>
        <v>2</v>
      </c>
      <c r="H88">
        <f t="shared" si="27"/>
        <v>1</v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4</v>
      </c>
      <c r="D94">
        <f>SUM(D82:D93)</f>
        <v>4</v>
      </c>
      <c r="F94">
        <f>SUM(F82:F93)</f>
        <v>6</v>
      </c>
      <c r="H94">
        <f>SUM(H82:H93)</f>
        <v>5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G4" t="s">
        <v>185</v>
      </c>
      <c r="H4">
        <v>1</v>
      </c>
      <c r="I4">
        <v>1</v>
      </c>
      <c r="K4">
        <v>7</v>
      </c>
      <c r="L4">
        <v>6</v>
      </c>
      <c r="M4">
        <v>6</v>
      </c>
      <c r="Q4">
        <v>1</v>
      </c>
      <c r="R4">
        <v>1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20</v>
      </c>
      <c r="G5" t="s">
        <v>188</v>
      </c>
      <c r="H5">
        <v>1</v>
      </c>
      <c r="I5">
        <v>1</v>
      </c>
      <c r="K5">
        <v>6</v>
      </c>
      <c r="L5">
        <v>1</v>
      </c>
      <c r="M5">
        <v>1</v>
      </c>
      <c r="N5">
        <v>5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29</v>
      </c>
      <c r="C6">
        <v>1</v>
      </c>
      <c r="G6" t="s">
        <v>188</v>
      </c>
      <c r="H6">
        <v>1</v>
      </c>
      <c r="I6">
        <v>1</v>
      </c>
      <c r="J6">
        <v>1</v>
      </c>
      <c r="K6">
        <v>7</v>
      </c>
      <c r="N6">
        <v>4</v>
      </c>
      <c r="O6">
        <v>3</v>
      </c>
      <c r="X6">
        <v>1</v>
      </c>
    </row>
    <row r="7" spans="1:66" x14ac:dyDescent="0.2">
      <c r="A7">
        <v>4</v>
      </c>
      <c r="B7">
        <v>40</v>
      </c>
      <c r="G7" t="s">
        <v>188</v>
      </c>
      <c r="H7">
        <v>1</v>
      </c>
      <c r="I7">
        <v>1</v>
      </c>
      <c r="K7">
        <v>7</v>
      </c>
      <c r="L7">
        <v>6</v>
      </c>
      <c r="M7">
        <v>6</v>
      </c>
      <c r="Q7">
        <v>1</v>
      </c>
      <c r="R7">
        <v>1</v>
      </c>
      <c r="S7">
        <v>1</v>
      </c>
      <c r="T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45</v>
      </c>
      <c r="C8">
        <v>1</v>
      </c>
      <c r="G8" t="s">
        <v>188</v>
      </c>
      <c r="H8">
        <v>1</v>
      </c>
      <c r="I8">
        <v>1</v>
      </c>
      <c r="J8">
        <v>1</v>
      </c>
      <c r="K8">
        <v>9</v>
      </c>
      <c r="L8">
        <v>5</v>
      </c>
      <c r="M8">
        <v>5</v>
      </c>
      <c r="O8">
        <v>1</v>
      </c>
      <c r="Q8">
        <v>3</v>
      </c>
      <c r="R8">
        <v>3</v>
      </c>
      <c r="X8">
        <v>1</v>
      </c>
    </row>
    <row r="9" spans="1:66" x14ac:dyDescent="0.2">
      <c r="A9">
        <v>6</v>
      </c>
      <c r="B9">
        <v>58</v>
      </c>
      <c r="J9">
        <v>2</v>
      </c>
      <c r="K9">
        <v>5</v>
      </c>
      <c r="L9">
        <v>2</v>
      </c>
      <c r="M9">
        <v>2</v>
      </c>
      <c r="N9">
        <v>5</v>
      </c>
      <c r="O9">
        <v>1</v>
      </c>
      <c r="P9">
        <v>1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69</v>
      </c>
      <c r="G10" t="s">
        <v>185</v>
      </c>
      <c r="H10">
        <v>1</v>
      </c>
      <c r="I10">
        <v>1</v>
      </c>
      <c r="K10">
        <v>9</v>
      </c>
      <c r="L10">
        <v>8</v>
      </c>
      <c r="M10">
        <v>8</v>
      </c>
      <c r="Q10">
        <v>1</v>
      </c>
      <c r="R10">
        <v>1</v>
      </c>
      <c r="U10">
        <v>1</v>
      </c>
      <c r="W10" t="s">
        <v>186</v>
      </c>
      <c r="X10">
        <v>1</v>
      </c>
    </row>
    <row r="11" spans="1:66" x14ac:dyDescent="0.2">
      <c r="A11">
        <v>8</v>
      </c>
      <c r="B11">
        <v>77</v>
      </c>
      <c r="G11" t="s">
        <v>188</v>
      </c>
      <c r="H11">
        <v>1</v>
      </c>
      <c r="J11">
        <v>1</v>
      </c>
      <c r="K11">
        <v>10</v>
      </c>
      <c r="L11">
        <v>8</v>
      </c>
      <c r="M11">
        <v>8</v>
      </c>
      <c r="Q11">
        <v>1</v>
      </c>
      <c r="R11">
        <v>1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87</v>
      </c>
      <c r="C12">
        <v>1</v>
      </c>
      <c r="G12" t="s">
        <v>185</v>
      </c>
      <c r="H12">
        <v>1</v>
      </c>
      <c r="I12">
        <v>1</v>
      </c>
      <c r="K12">
        <v>5</v>
      </c>
      <c r="N12">
        <v>2</v>
      </c>
      <c r="O12">
        <v>1</v>
      </c>
      <c r="P12">
        <v>1</v>
      </c>
      <c r="Q12">
        <v>2</v>
      </c>
      <c r="R12">
        <v>2</v>
      </c>
      <c r="S12">
        <v>1</v>
      </c>
      <c r="T12">
        <v>1</v>
      </c>
    </row>
    <row r="13" spans="1:66" x14ac:dyDescent="0.2">
      <c r="A13">
        <v>10</v>
      </c>
      <c r="B13">
        <v>96</v>
      </c>
      <c r="D13" t="s">
        <v>185</v>
      </c>
      <c r="E13">
        <v>1</v>
      </c>
      <c r="F13">
        <v>1</v>
      </c>
      <c r="J13">
        <v>1</v>
      </c>
      <c r="K13">
        <v>7</v>
      </c>
      <c r="L13">
        <v>1</v>
      </c>
      <c r="M13">
        <v>1</v>
      </c>
      <c r="N13">
        <v>4</v>
      </c>
      <c r="O13">
        <v>4</v>
      </c>
      <c r="P13">
        <v>2</v>
      </c>
      <c r="X13">
        <v>1</v>
      </c>
    </row>
    <row r="14" spans="1:66" x14ac:dyDescent="0.2">
      <c r="A14">
        <v>11</v>
      </c>
      <c r="B14">
        <v>104</v>
      </c>
      <c r="G14" t="s">
        <v>188</v>
      </c>
      <c r="H14">
        <v>1</v>
      </c>
      <c r="I14">
        <v>1</v>
      </c>
      <c r="K14">
        <v>7</v>
      </c>
      <c r="L14">
        <v>5</v>
      </c>
      <c r="M14">
        <v>5</v>
      </c>
      <c r="Q14">
        <v>2</v>
      </c>
      <c r="R14">
        <v>2</v>
      </c>
      <c r="S14">
        <v>1</v>
      </c>
      <c r="T14">
        <v>1</v>
      </c>
      <c r="U14">
        <v>1</v>
      </c>
      <c r="W14" t="s">
        <v>186</v>
      </c>
      <c r="X14">
        <v>1</v>
      </c>
    </row>
    <row r="15" spans="1:66" x14ac:dyDescent="0.2">
      <c r="A15">
        <v>12</v>
      </c>
      <c r="B15">
        <v>118</v>
      </c>
      <c r="G15" t="s">
        <v>188</v>
      </c>
      <c r="H15">
        <v>1</v>
      </c>
      <c r="I15">
        <v>1</v>
      </c>
      <c r="J15">
        <v>2</v>
      </c>
      <c r="K15">
        <v>3</v>
      </c>
      <c r="N15">
        <v>5</v>
      </c>
      <c r="O15">
        <v>1</v>
      </c>
      <c r="P15">
        <v>1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3</v>
      </c>
      <c r="E16">
        <f>SUM(E4:E15)</f>
        <v>1</v>
      </c>
      <c r="F16">
        <f>SUM(F4:F15)</f>
        <v>1</v>
      </c>
      <c r="H16">
        <f t="shared" ref="H16:P16" si="0">SUM(H4:H15)</f>
        <v>10</v>
      </c>
      <c r="I16">
        <f t="shared" si="0"/>
        <v>9</v>
      </c>
      <c r="J16">
        <f t="shared" si="0"/>
        <v>8</v>
      </c>
      <c r="K16">
        <f t="shared" si="0"/>
        <v>82</v>
      </c>
      <c r="L16">
        <f t="shared" si="0"/>
        <v>42</v>
      </c>
      <c r="M16">
        <f t="shared" si="0"/>
        <v>42</v>
      </c>
      <c r="N16">
        <f t="shared" si="0"/>
        <v>25</v>
      </c>
      <c r="O16">
        <f t="shared" si="0"/>
        <v>11</v>
      </c>
      <c r="P16">
        <f t="shared" si="0"/>
        <v>5</v>
      </c>
      <c r="Q16">
        <f>SUM(Q4:Q15)</f>
        <v>11</v>
      </c>
      <c r="R16">
        <f>SUM(R4:R15)</f>
        <v>11</v>
      </c>
      <c r="S16">
        <f>SUM(S4:S15)</f>
        <v>3</v>
      </c>
      <c r="T16">
        <v>0</v>
      </c>
      <c r="U16">
        <f>SUM(U4:U15)</f>
        <v>8</v>
      </c>
      <c r="V16">
        <f>SUM(V4:V15)</f>
        <v>4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0.9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0.45454545454545453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0.66666666666666663</v>
      </c>
      <c r="O22">
        <f>MEDIAN(I54:I65)</f>
        <v>0.5</v>
      </c>
      <c r="P22">
        <f>MAX(I54:I65)</f>
        <v>2</v>
      </c>
      <c r="Q22">
        <f>_xlfn.STDEV.S(I54:I65)</f>
        <v>0.77849894416152299</v>
      </c>
      <c r="S22">
        <f>V16/U16</f>
        <v>0.5</v>
      </c>
      <c r="U22">
        <f>AA66/Y66</f>
        <v>0.5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0.8571428571428571</v>
      </c>
      <c r="I24">
        <f>AVERAGE(A54:A65)</f>
        <v>0.41666666666666669</v>
      </c>
      <c r="J24">
        <f>MAX(A54:A65)</f>
        <v>2</v>
      </c>
      <c r="K24">
        <f>_xlfn.STDEV.S(A54:A65)</f>
        <v>0.66855792342152143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6.833333333333333</v>
      </c>
      <c r="O25">
        <f>MEDIAN(K54:K65)</f>
        <v>7</v>
      </c>
      <c r="P25">
        <f>MAX(K54:K65)</f>
        <v>10</v>
      </c>
      <c r="Q25">
        <f>_xlfn.STDEV.S(K54:K65)</f>
        <v>1.9462473604038066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0.75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8.8888888888888892E-2</v>
      </c>
    </row>
    <row r="29" spans="1:66" x14ac:dyDescent="0.2">
      <c r="D29">
        <f>_xlfn.STDEV.S(A68:A79)</f>
        <v>0.316227766016838</v>
      </c>
      <c r="I29">
        <f>AVERAGE(C54:C65)</f>
        <v>0.91666666666666663</v>
      </c>
      <c r="J29">
        <f>MAX(C54:C65)</f>
        <v>3</v>
      </c>
      <c r="K29">
        <f>_xlfn.STDEV.S(C54:C65)</f>
        <v>0.99620491989562188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0.91111111111111109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3.5</v>
      </c>
      <c r="J34">
        <f>MAX(E54:E65)</f>
        <v>8</v>
      </c>
      <c r="K34">
        <f>_xlfn.STDEV.S(E54:E65)</f>
        <v>3.147870853305597</v>
      </c>
      <c r="L34">
        <f>AVERAGE(K68:K79)</f>
        <v>1.6666666666666667</v>
      </c>
      <c r="M34">
        <f>MAX(K68:K79)</f>
        <v>5</v>
      </c>
      <c r="N34">
        <f>_xlfn.STDEV.S(K68:K79)</f>
        <v>2.8867513459481287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2.0833333333333335</v>
      </c>
      <c r="J37">
        <f>MAX(G54:G65)</f>
        <v>5</v>
      </c>
      <c r="K37">
        <f>_xlfn.STDEV.S(G54:G65)</f>
        <v>2.3143164446679725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6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1</v>
      </c>
      <c r="G55">
        <f t="shared" si="4"/>
        <v>5</v>
      </c>
      <c r="I55">
        <f t="shared" si="5"/>
        <v>0</v>
      </c>
      <c r="K55">
        <f t="shared" si="6"/>
        <v>6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4</v>
      </c>
      <c r="I56">
        <f t="shared" si="5"/>
        <v>1</v>
      </c>
      <c r="K56">
        <f t="shared" si="6"/>
        <v>7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1</v>
      </c>
      <c r="E57">
        <f t="shared" si="3"/>
        <v>6</v>
      </c>
      <c r="G57">
        <f t="shared" si="4"/>
        <v>0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3</v>
      </c>
      <c r="E58">
        <f t="shared" si="3"/>
        <v>5</v>
      </c>
      <c r="G58">
        <f t="shared" si="4"/>
        <v>0</v>
      </c>
      <c r="I58">
        <f t="shared" si="5"/>
        <v>1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0</v>
      </c>
      <c r="E59">
        <f t="shared" si="3"/>
        <v>2</v>
      </c>
      <c r="G59">
        <f t="shared" si="4"/>
        <v>5</v>
      </c>
      <c r="I59">
        <f t="shared" si="5"/>
        <v>2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1</v>
      </c>
      <c r="E60">
        <f t="shared" si="3"/>
        <v>8</v>
      </c>
      <c r="G60">
        <f t="shared" si="4"/>
        <v>0</v>
      </c>
      <c r="I60">
        <f t="shared" si="5"/>
        <v>0</v>
      </c>
      <c r="K60">
        <f t="shared" si="6"/>
        <v>9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1</v>
      </c>
      <c r="E61">
        <f t="shared" si="3"/>
        <v>8</v>
      </c>
      <c r="G61">
        <f t="shared" si="4"/>
        <v>0</v>
      </c>
      <c r="I61">
        <f t="shared" si="5"/>
        <v>1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0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2</v>
      </c>
      <c r="E62">
        <f t="shared" si="3"/>
        <v>0</v>
      </c>
      <c r="G62">
        <f t="shared" si="4"/>
        <v>2</v>
      </c>
      <c r="I62">
        <f t="shared" si="5"/>
        <v>0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0</v>
      </c>
      <c r="E63">
        <f t="shared" si="3"/>
        <v>1</v>
      </c>
      <c r="G63">
        <f t="shared" si="4"/>
        <v>4</v>
      </c>
      <c r="I63">
        <f t="shared" si="5"/>
        <v>1</v>
      </c>
      <c r="K63">
        <f t="shared" si="6"/>
        <v>7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2</v>
      </c>
      <c r="E64">
        <f t="shared" si="3"/>
        <v>5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>
        <f t="shared" si="15"/>
        <v>1</v>
      </c>
      <c r="AA64">
        <f t="shared" si="16"/>
        <v>0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1</v>
      </c>
      <c r="C65">
        <f t="shared" si="2"/>
        <v>0</v>
      </c>
      <c r="E65">
        <f t="shared" si="3"/>
        <v>0</v>
      </c>
      <c r="G65">
        <f t="shared" si="4"/>
        <v>5</v>
      </c>
      <c r="I65">
        <f t="shared" si="5"/>
        <v>2</v>
      </c>
      <c r="K65">
        <f t="shared" si="6"/>
        <v>3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7</v>
      </c>
      <c r="V66">
        <f>SUM(V54:V65)</f>
        <v>6</v>
      </c>
      <c r="Y66">
        <f>SUM(Y54:Y65)</f>
        <v>8</v>
      </c>
      <c r="AA66">
        <f>SUM(AA54:AA65)</f>
        <v>4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8</v>
      </c>
      <c r="G68">
        <f>AVERAGE(E68:E79)</f>
        <v>5.666666666666667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2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1</v>
      </c>
      <c r="I70">
        <f t="shared" si="22"/>
        <v>0</v>
      </c>
      <c r="K70">
        <f t="shared" si="23"/>
        <v>0</v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8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9</v>
      </c>
      <c r="I72">
        <f t="shared" si="22"/>
        <v>5</v>
      </c>
      <c r="K72">
        <f t="shared" si="23"/>
        <v>5</v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3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10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0</v>
      </c>
      <c r="C75">
        <f t="shared" si="20"/>
        <v>1</v>
      </c>
      <c r="E75">
        <f t="shared" si="21"/>
        <v>9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4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8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2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5</v>
      </c>
      <c r="K80">
        <f>SUM(K68:K79)</f>
        <v>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D4" t="s">
        <v>188</v>
      </c>
      <c r="E4">
        <v>1</v>
      </c>
      <c r="K4">
        <v>11</v>
      </c>
      <c r="L4">
        <v>6</v>
      </c>
      <c r="M4">
        <v>6</v>
      </c>
      <c r="Q4">
        <v>5</v>
      </c>
      <c r="R4">
        <v>4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20</v>
      </c>
      <c r="G5" t="s">
        <v>188</v>
      </c>
      <c r="H5">
        <v>1</v>
      </c>
      <c r="K5">
        <v>7</v>
      </c>
      <c r="L5">
        <v>4</v>
      </c>
      <c r="M5">
        <v>4</v>
      </c>
      <c r="N5">
        <v>1</v>
      </c>
      <c r="Q5">
        <v>1</v>
      </c>
      <c r="R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30</v>
      </c>
      <c r="K6">
        <v>8</v>
      </c>
      <c r="L6">
        <v>7</v>
      </c>
      <c r="M6">
        <v>7</v>
      </c>
      <c r="Q6">
        <v>1</v>
      </c>
      <c r="R6">
        <v>1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36</v>
      </c>
      <c r="G7" t="s">
        <v>185</v>
      </c>
      <c r="H7">
        <v>2</v>
      </c>
      <c r="I7">
        <v>2</v>
      </c>
      <c r="K7">
        <v>8</v>
      </c>
      <c r="L7">
        <v>3</v>
      </c>
      <c r="M7">
        <v>3</v>
      </c>
      <c r="N7">
        <v>3</v>
      </c>
      <c r="Q7">
        <v>2</v>
      </c>
      <c r="R7">
        <v>2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47</v>
      </c>
      <c r="D8" t="s">
        <v>185</v>
      </c>
      <c r="E8">
        <v>1</v>
      </c>
      <c r="K8">
        <v>6</v>
      </c>
      <c r="L8">
        <v>3</v>
      </c>
      <c r="M8">
        <v>3</v>
      </c>
      <c r="N8">
        <v>1</v>
      </c>
      <c r="Q8">
        <v>2</v>
      </c>
      <c r="R8">
        <v>2</v>
      </c>
    </row>
    <row r="9" spans="1:66" x14ac:dyDescent="0.2">
      <c r="A9">
        <v>6</v>
      </c>
      <c r="B9">
        <v>60</v>
      </c>
      <c r="C9">
        <v>1</v>
      </c>
      <c r="D9" t="s">
        <v>188</v>
      </c>
      <c r="E9">
        <v>1</v>
      </c>
      <c r="K9">
        <v>10</v>
      </c>
      <c r="L9">
        <v>6</v>
      </c>
      <c r="M9">
        <v>6</v>
      </c>
      <c r="N9">
        <v>4</v>
      </c>
    </row>
    <row r="10" spans="1:66" x14ac:dyDescent="0.2">
      <c r="A10">
        <v>7</v>
      </c>
      <c r="B10">
        <v>66</v>
      </c>
      <c r="G10" t="s">
        <v>188</v>
      </c>
      <c r="H10">
        <v>2</v>
      </c>
      <c r="I10">
        <v>1</v>
      </c>
      <c r="K10">
        <v>12</v>
      </c>
      <c r="L10">
        <v>9</v>
      </c>
      <c r="M10">
        <v>9</v>
      </c>
      <c r="Q10">
        <v>2</v>
      </c>
      <c r="R10">
        <v>1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79</v>
      </c>
      <c r="C11">
        <v>1</v>
      </c>
      <c r="G11" t="s">
        <v>188</v>
      </c>
      <c r="H11">
        <v>2</v>
      </c>
      <c r="I11">
        <v>2</v>
      </c>
      <c r="K11">
        <v>11</v>
      </c>
      <c r="L11">
        <v>7</v>
      </c>
      <c r="M11">
        <v>6</v>
      </c>
      <c r="O11">
        <v>1</v>
      </c>
      <c r="P11">
        <v>1</v>
      </c>
      <c r="Q11">
        <v>3</v>
      </c>
      <c r="R11">
        <v>3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84</v>
      </c>
      <c r="C12">
        <v>1</v>
      </c>
      <c r="G12" t="s">
        <v>188</v>
      </c>
      <c r="H12">
        <v>2</v>
      </c>
      <c r="I12">
        <v>1</v>
      </c>
      <c r="K12">
        <v>9</v>
      </c>
      <c r="L12">
        <v>7</v>
      </c>
      <c r="M12">
        <v>7</v>
      </c>
      <c r="Q12">
        <v>2</v>
      </c>
      <c r="R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95</v>
      </c>
      <c r="C13">
        <v>1</v>
      </c>
      <c r="G13" t="s">
        <v>185</v>
      </c>
      <c r="H13">
        <v>2</v>
      </c>
      <c r="I13">
        <v>2</v>
      </c>
      <c r="J13">
        <v>1</v>
      </c>
      <c r="K13">
        <v>9</v>
      </c>
      <c r="L13">
        <v>9</v>
      </c>
      <c r="M13">
        <v>9</v>
      </c>
      <c r="Q13">
        <v>1</v>
      </c>
      <c r="R13">
        <v>1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102</v>
      </c>
      <c r="G14" t="s">
        <v>188</v>
      </c>
      <c r="H14">
        <v>2</v>
      </c>
      <c r="I14">
        <v>2</v>
      </c>
      <c r="K14">
        <v>10</v>
      </c>
      <c r="Q14">
        <v>3</v>
      </c>
      <c r="R14">
        <v>3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111</v>
      </c>
      <c r="G15" t="s">
        <v>188</v>
      </c>
      <c r="H15">
        <v>2</v>
      </c>
      <c r="I15">
        <v>2</v>
      </c>
      <c r="K15">
        <v>9</v>
      </c>
      <c r="L15">
        <v>9</v>
      </c>
      <c r="M15">
        <v>9</v>
      </c>
      <c r="U15">
        <v>1</v>
      </c>
      <c r="V15">
        <v>1</v>
      </c>
      <c r="W15" t="s">
        <v>189</v>
      </c>
    </row>
    <row r="16" spans="1:66" x14ac:dyDescent="0.2">
      <c r="A16" t="s">
        <v>8</v>
      </c>
      <c r="C16">
        <f>SUM(C4:C15)</f>
        <v>4</v>
      </c>
      <c r="E16">
        <f>SUM(E4:E15)</f>
        <v>3</v>
      </c>
      <c r="F16">
        <f>SUM(F4:F15)</f>
        <v>0</v>
      </c>
      <c r="H16">
        <f t="shared" ref="H16:P16" si="0">SUM(H4:H15)</f>
        <v>15</v>
      </c>
      <c r="I16">
        <f t="shared" si="0"/>
        <v>12</v>
      </c>
      <c r="J16">
        <f t="shared" si="0"/>
        <v>1</v>
      </c>
      <c r="K16">
        <f t="shared" si="0"/>
        <v>110</v>
      </c>
      <c r="L16">
        <f t="shared" si="0"/>
        <v>70</v>
      </c>
      <c r="M16">
        <f t="shared" si="0"/>
        <v>69</v>
      </c>
      <c r="N16">
        <f t="shared" si="0"/>
        <v>9</v>
      </c>
      <c r="O16">
        <f t="shared" si="0"/>
        <v>1</v>
      </c>
      <c r="P16">
        <f t="shared" si="0"/>
        <v>1</v>
      </c>
      <c r="Q16">
        <f>SUM(Q4:Q15)</f>
        <v>22</v>
      </c>
      <c r="R16">
        <f>SUM(R4:R15)</f>
        <v>20</v>
      </c>
      <c r="S16">
        <f>SUM(S4:S15)</f>
        <v>1</v>
      </c>
      <c r="T16">
        <v>0</v>
      </c>
      <c r="U16">
        <f>SUM(U4:U15)</f>
        <v>9</v>
      </c>
      <c r="V16">
        <f>SUM(V4:V15)</f>
        <v>8</v>
      </c>
      <c r="W16">
        <f>SUM(W4:W15)</f>
        <v>0</v>
      </c>
      <c r="X16">
        <f>SUM(X4:X15)</f>
        <v>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0.875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1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</v>
      </c>
      <c r="F22">
        <f>T66/S66</f>
        <v>1</v>
      </c>
      <c r="I22" t="s">
        <v>23</v>
      </c>
      <c r="N22">
        <f>AVERAGE(I54:I65)</f>
        <v>8.3333333333333329E-2</v>
      </c>
      <c r="O22">
        <f>MEDIAN(I54:I65)</f>
        <v>0</v>
      </c>
      <c r="P22">
        <f>MAX(I54:I65)</f>
        <v>1</v>
      </c>
      <c r="Q22">
        <f>_xlfn.STDEV.S(I54:I65)</f>
        <v>0.28867513459481287</v>
      </c>
      <c r="S22">
        <f>V16/U16</f>
        <v>0.88888888888888884</v>
      </c>
      <c r="U22">
        <f>AA66/Y66</f>
        <v>0.875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0.72727272727272729</v>
      </c>
      <c r="I24">
        <f>AVERAGE(A54:A65)</f>
        <v>8.3333333333333329E-2</v>
      </c>
      <c r="J24">
        <f>MAX(A54:A65)</f>
        <v>1</v>
      </c>
      <c r="K24">
        <f>_xlfn.STDEV.S(A54:A65)</f>
        <v>0.28867513459481287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9.1666666666666661</v>
      </c>
      <c r="O25">
        <f>MEDIAN(K54:K65)</f>
        <v>9</v>
      </c>
      <c r="P25">
        <f>MAX(K54:K65)</f>
        <v>12</v>
      </c>
      <c r="Q25">
        <f>_xlfn.STDEV.S(K54:K65)</f>
        <v>1.7494587907710364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1</v>
      </c>
      <c r="I26">
        <f>R16/Q16</f>
        <v>0.90909090909090906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9.0090090090090089E-3</v>
      </c>
    </row>
    <row r="29" spans="1:66" x14ac:dyDescent="0.2">
      <c r="D29">
        <f>_xlfn.STDEV.S(A68:A79)</f>
        <v>0.7559289460184544</v>
      </c>
      <c r="I29">
        <f>AVERAGE(C54:C65)</f>
        <v>1.6666666666666667</v>
      </c>
      <c r="J29">
        <f>MAX(C54:C65)</f>
        <v>4</v>
      </c>
      <c r="K29">
        <f>_xlfn.STDEV.S(C54:C65)</f>
        <v>1.2309149097933272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0.99099099099099097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0.98571428571428577</v>
      </c>
      <c r="L31">
        <f>K80/I80</f>
        <v>0.96551724137931039</v>
      </c>
    </row>
    <row r="32" spans="1:66" x14ac:dyDescent="0.2">
      <c r="D32" t="e">
        <f>D94/B94</f>
        <v>#DIV/0!</v>
      </c>
      <c r="F32">
        <f>H94/F94</f>
        <v>0.8571428571428571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5.75</v>
      </c>
      <c r="J34">
        <f>MAX(E54:E65)</f>
        <v>9</v>
      </c>
      <c r="K34">
        <f>_xlfn.STDEV.S(E54:E65)</f>
        <v>2.8001623329566252</v>
      </c>
      <c r="L34">
        <f>AVERAGE(K68:K79)</f>
        <v>7</v>
      </c>
      <c r="M34">
        <f>MAX(K68:K79)</f>
        <v>9</v>
      </c>
      <c r="N34">
        <f>_xlfn.STDEV.S(K68:K79)</f>
        <v>1.4142135623730951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0.75</v>
      </c>
      <c r="J37">
        <f>MAX(G54:G65)</f>
        <v>4</v>
      </c>
      <c r="K37">
        <f>_xlfn.STDEV.S(G54:G65)</f>
        <v>1.3568010505999362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4</v>
      </c>
      <c r="E54">
        <f t="shared" ref="E54:E65" si="3">IF(ISBLANK(B4),"",M4)</f>
        <v>6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11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0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4</v>
      </c>
      <c r="G55">
        <f t="shared" si="4"/>
        <v>1</v>
      </c>
      <c r="I55">
        <f t="shared" si="5"/>
        <v>0</v>
      </c>
      <c r="K55">
        <f t="shared" si="6"/>
        <v>7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0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7</v>
      </c>
      <c r="G56">
        <f t="shared" si="4"/>
        <v>0</v>
      </c>
      <c r="I56">
        <f t="shared" si="5"/>
        <v>0</v>
      </c>
      <c r="K56">
        <f t="shared" si="6"/>
        <v>8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2</v>
      </c>
      <c r="E57">
        <f t="shared" si="3"/>
        <v>3</v>
      </c>
      <c r="G57">
        <f t="shared" si="4"/>
        <v>3</v>
      </c>
      <c r="I57">
        <f t="shared" si="5"/>
        <v>0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2</v>
      </c>
      <c r="T57">
        <f t="shared" si="12"/>
        <v>2</v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3</v>
      </c>
      <c r="G58">
        <f t="shared" si="4"/>
        <v>1</v>
      </c>
      <c r="I58">
        <f t="shared" si="5"/>
        <v>0</v>
      </c>
      <c r="K58">
        <f t="shared" si="6"/>
        <v>6</v>
      </c>
      <c r="N58">
        <f t="shared" si="7"/>
        <v>1</v>
      </c>
      <c r="O58">
        <f t="shared" si="8"/>
        <v>0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6</v>
      </c>
      <c r="G59">
        <f t="shared" si="4"/>
        <v>4</v>
      </c>
      <c r="I59">
        <f t="shared" si="5"/>
        <v>0</v>
      </c>
      <c r="K59">
        <f t="shared" si="6"/>
        <v>10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0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1</v>
      </c>
      <c r="E60">
        <f t="shared" si="3"/>
        <v>9</v>
      </c>
      <c r="G60">
        <f t="shared" si="4"/>
        <v>0</v>
      </c>
      <c r="I60">
        <f t="shared" si="5"/>
        <v>0</v>
      </c>
      <c r="K60">
        <f t="shared" si="6"/>
        <v>12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2</v>
      </c>
      <c r="V60">
        <f t="shared" si="14"/>
        <v>1</v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3</v>
      </c>
      <c r="E61">
        <f t="shared" si="3"/>
        <v>6</v>
      </c>
      <c r="G61">
        <f t="shared" si="4"/>
        <v>0</v>
      </c>
      <c r="I61">
        <f t="shared" si="5"/>
        <v>0</v>
      </c>
      <c r="K61">
        <f t="shared" si="6"/>
        <v>11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2</v>
      </c>
      <c r="V61">
        <f t="shared" si="14"/>
        <v>2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9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1</v>
      </c>
      <c r="E63">
        <f t="shared" si="3"/>
        <v>9</v>
      </c>
      <c r="G63">
        <f t="shared" si="4"/>
        <v>0</v>
      </c>
      <c r="I63">
        <f t="shared" si="5"/>
        <v>1</v>
      </c>
      <c r="K63">
        <f t="shared" si="6"/>
        <v>9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2</v>
      </c>
      <c r="T63">
        <f t="shared" si="12"/>
        <v>2</v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3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10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2</v>
      </c>
      <c r="V64">
        <f t="shared" si="14"/>
        <v>2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9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2</v>
      </c>
      <c r="V65">
        <f t="shared" si="14"/>
        <v>2</v>
      </c>
      <c r="Y65" t="str">
        <f t="shared" si="15"/>
        <v/>
      </c>
      <c r="AA65" t="str">
        <f t="shared" si="16"/>
        <v/>
      </c>
      <c r="AC65">
        <f t="shared" si="17"/>
        <v>1</v>
      </c>
      <c r="AE65">
        <f t="shared" si="18"/>
        <v>1</v>
      </c>
    </row>
    <row r="66" spans="1:31" x14ac:dyDescent="0.2">
      <c r="M66" t="s">
        <v>8</v>
      </c>
      <c r="N66">
        <f>SUM(N54:N65)</f>
        <v>1</v>
      </c>
      <c r="O66">
        <f>SUM(O54:O65)</f>
        <v>0</v>
      </c>
      <c r="P66">
        <f>SUM(P54:P65)</f>
        <v>2</v>
      </c>
      <c r="Q66">
        <f>SUM(Q54:Q65)</f>
        <v>0</v>
      </c>
      <c r="S66">
        <f>SUM(S54:S65)</f>
        <v>4</v>
      </c>
      <c r="T66">
        <f>SUM(T54:T65)</f>
        <v>4</v>
      </c>
      <c r="U66">
        <f>SUM(U54:U65)</f>
        <v>11</v>
      </c>
      <c r="V66">
        <f>SUM(V54:V65)</f>
        <v>8</v>
      </c>
      <c r="Y66">
        <f>SUM(Y54:Y65)</f>
        <v>8</v>
      </c>
      <c r="AA66">
        <f>SUM(AA54:AA65)</f>
        <v>7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10</v>
      </c>
      <c r="G68">
        <f>AVERAGE(E68:E79)</f>
        <v>8.5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0</v>
      </c>
      <c r="C69">
        <f t="shared" si="20"/>
        <v>1</v>
      </c>
      <c r="E69">
        <f t="shared" si="21"/>
        <v>5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8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2</v>
      </c>
      <c r="C71">
        <f t="shared" si="20"/>
        <v>1</v>
      </c>
      <c r="E71">
        <f t="shared" si="21"/>
        <v>7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5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6</v>
      </c>
      <c r="I73">
        <f t="shared" si="22"/>
        <v>6</v>
      </c>
      <c r="K73">
        <f t="shared" si="23"/>
        <v>6</v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11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2</v>
      </c>
      <c r="C75">
        <f t="shared" si="20"/>
        <v>1</v>
      </c>
      <c r="E75">
        <f t="shared" si="21"/>
        <v>12</v>
      </c>
      <c r="I75">
        <f t="shared" si="22"/>
        <v>7</v>
      </c>
      <c r="K75">
        <f t="shared" si="23"/>
        <v>6</v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10</v>
      </c>
      <c r="I76">
        <f t="shared" si="22"/>
        <v>7</v>
      </c>
      <c r="K76">
        <f t="shared" si="23"/>
        <v>7</v>
      </c>
    </row>
    <row r="77" spans="1:31" x14ac:dyDescent="0.2">
      <c r="A77">
        <f t="shared" si="19"/>
        <v>2</v>
      </c>
      <c r="C77">
        <f t="shared" si="20"/>
        <v>1</v>
      </c>
      <c r="E77">
        <f t="shared" si="21"/>
        <v>12</v>
      </c>
      <c r="I77">
        <f t="shared" si="22"/>
        <v>9</v>
      </c>
      <c r="K77">
        <f t="shared" si="23"/>
        <v>9</v>
      </c>
    </row>
    <row r="78" spans="1:31" x14ac:dyDescent="0.2">
      <c r="A78">
        <f t="shared" si="19"/>
        <v>2</v>
      </c>
      <c r="C78">
        <f t="shared" si="20"/>
        <v>1</v>
      </c>
      <c r="E78">
        <f t="shared" si="21"/>
        <v>5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2</v>
      </c>
      <c r="C79">
        <f t="shared" si="20"/>
        <v>1</v>
      </c>
      <c r="E79">
        <f t="shared" si="21"/>
        <v>11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29</v>
      </c>
      <c r="K80">
        <f>SUM(K68:K79)</f>
        <v>28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>
        <f t="shared" si="26"/>
        <v>2</v>
      </c>
      <c r="H85">
        <f t="shared" si="27"/>
        <v>2</v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>
        <f t="shared" si="26"/>
        <v>2</v>
      </c>
      <c r="H88">
        <f t="shared" si="27"/>
        <v>1</v>
      </c>
    </row>
    <row r="89" spans="1:8" x14ac:dyDescent="0.2">
      <c r="B89" t="str">
        <f t="shared" si="24"/>
        <v/>
      </c>
      <c r="D89" t="str">
        <f t="shared" si="25"/>
        <v/>
      </c>
      <c r="F89">
        <f t="shared" si="26"/>
        <v>2</v>
      </c>
      <c r="H89">
        <f t="shared" si="27"/>
        <v>2</v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1</v>
      </c>
    </row>
    <row r="91" spans="1:8" x14ac:dyDescent="0.2">
      <c r="B91" t="str">
        <f t="shared" si="24"/>
        <v/>
      </c>
      <c r="D91" t="str">
        <f t="shared" si="25"/>
        <v/>
      </c>
      <c r="F91">
        <f t="shared" si="26"/>
        <v>2</v>
      </c>
      <c r="H91">
        <f t="shared" si="27"/>
        <v>2</v>
      </c>
    </row>
    <row r="92" spans="1:8" x14ac:dyDescent="0.2">
      <c r="B92" t="str">
        <f t="shared" si="24"/>
        <v/>
      </c>
      <c r="D92" t="str">
        <f t="shared" si="25"/>
        <v/>
      </c>
      <c r="F92">
        <f t="shared" si="26"/>
        <v>2</v>
      </c>
      <c r="H92">
        <f t="shared" si="27"/>
        <v>2</v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2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14</v>
      </c>
      <c r="H94">
        <f>SUM(H82:H93)</f>
        <v>12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BN94"/>
  <sheetViews>
    <sheetView topLeftCell="E1" workbookViewId="0">
      <selection activeCell="F5" sqref="F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10</v>
      </c>
      <c r="G4" t="s">
        <v>188</v>
      </c>
      <c r="H4">
        <v>1</v>
      </c>
      <c r="I4">
        <v>1</v>
      </c>
      <c r="K4">
        <v>10</v>
      </c>
      <c r="L4">
        <v>9</v>
      </c>
      <c r="M4">
        <v>9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15</v>
      </c>
      <c r="G5" t="s">
        <v>188</v>
      </c>
      <c r="H5">
        <v>1</v>
      </c>
      <c r="I5">
        <v>1</v>
      </c>
      <c r="K5">
        <v>11</v>
      </c>
      <c r="L5">
        <v>9</v>
      </c>
      <c r="M5">
        <v>9</v>
      </c>
      <c r="N5">
        <v>1</v>
      </c>
      <c r="Q5">
        <v>1</v>
      </c>
      <c r="R5">
        <v>1</v>
      </c>
      <c r="X5">
        <v>1</v>
      </c>
    </row>
    <row r="6" spans="1:66" x14ac:dyDescent="0.2">
      <c r="A6">
        <v>3</v>
      </c>
      <c r="B6">
        <v>21</v>
      </c>
      <c r="X6">
        <v>1</v>
      </c>
    </row>
    <row r="7" spans="1:66" x14ac:dyDescent="0.2">
      <c r="A7">
        <v>4</v>
      </c>
      <c r="B7">
        <v>34</v>
      </c>
      <c r="G7" t="s">
        <v>188</v>
      </c>
      <c r="H7">
        <v>1</v>
      </c>
      <c r="I7">
        <v>1</v>
      </c>
      <c r="K7">
        <v>12</v>
      </c>
      <c r="L7">
        <v>6</v>
      </c>
      <c r="M7">
        <v>6</v>
      </c>
      <c r="Q7">
        <v>6</v>
      </c>
      <c r="R7">
        <v>6</v>
      </c>
      <c r="X7">
        <v>1</v>
      </c>
    </row>
    <row r="8" spans="1:66" x14ac:dyDescent="0.2">
      <c r="A8">
        <v>5</v>
      </c>
      <c r="B8">
        <v>42</v>
      </c>
      <c r="C8">
        <v>1</v>
      </c>
      <c r="K8">
        <v>10</v>
      </c>
      <c r="L8">
        <v>9</v>
      </c>
      <c r="M8">
        <v>9</v>
      </c>
      <c r="Q8">
        <v>2</v>
      </c>
      <c r="R8">
        <v>2</v>
      </c>
      <c r="U8">
        <v>1</v>
      </c>
      <c r="V8">
        <v>1</v>
      </c>
      <c r="W8" t="s">
        <v>189</v>
      </c>
    </row>
    <row r="9" spans="1:66" x14ac:dyDescent="0.2">
      <c r="A9">
        <v>6</v>
      </c>
      <c r="B9">
        <v>56</v>
      </c>
      <c r="G9" t="s">
        <v>188</v>
      </c>
      <c r="H9">
        <v>1</v>
      </c>
      <c r="I9">
        <v>1</v>
      </c>
      <c r="K9">
        <v>10</v>
      </c>
      <c r="L9">
        <v>6</v>
      </c>
      <c r="M9">
        <v>6</v>
      </c>
      <c r="Q9">
        <v>4</v>
      </c>
      <c r="R9">
        <v>4</v>
      </c>
      <c r="S9">
        <v>1</v>
      </c>
      <c r="T9">
        <v>1</v>
      </c>
      <c r="U9">
        <v>1</v>
      </c>
      <c r="V9">
        <v>1</v>
      </c>
      <c r="W9" t="s">
        <v>189</v>
      </c>
    </row>
    <row r="10" spans="1:66" x14ac:dyDescent="0.2">
      <c r="A10">
        <v>7</v>
      </c>
      <c r="B10">
        <v>64</v>
      </c>
      <c r="C10">
        <v>1</v>
      </c>
      <c r="G10" t="s">
        <v>188</v>
      </c>
      <c r="H10">
        <v>1</v>
      </c>
      <c r="I10">
        <v>1</v>
      </c>
      <c r="J10">
        <v>2</v>
      </c>
      <c r="K10">
        <v>9</v>
      </c>
      <c r="L10">
        <v>8</v>
      </c>
      <c r="M10">
        <v>8</v>
      </c>
      <c r="N10">
        <v>1</v>
      </c>
      <c r="X10">
        <v>1</v>
      </c>
    </row>
    <row r="11" spans="1:66" x14ac:dyDescent="0.2">
      <c r="A11">
        <v>8</v>
      </c>
      <c r="B11">
        <v>72</v>
      </c>
      <c r="G11" t="s">
        <v>188</v>
      </c>
      <c r="H11">
        <v>1</v>
      </c>
      <c r="I11">
        <v>1</v>
      </c>
      <c r="K11">
        <v>10</v>
      </c>
      <c r="L11">
        <v>8</v>
      </c>
      <c r="M11">
        <v>8</v>
      </c>
      <c r="Q11">
        <v>2</v>
      </c>
      <c r="R11">
        <v>2</v>
      </c>
      <c r="X11">
        <v>1</v>
      </c>
    </row>
    <row r="12" spans="1:66" x14ac:dyDescent="0.2">
      <c r="A12">
        <v>9</v>
      </c>
      <c r="B12">
        <v>87</v>
      </c>
      <c r="J12">
        <v>1</v>
      </c>
      <c r="K12">
        <v>4</v>
      </c>
      <c r="Q12">
        <v>3</v>
      </c>
      <c r="R12">
        <v>3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100</v>
      </c>
      <c r="C13">
        <v>1</v>
      </c>
      <c r="G13" t="s">
        <v>188</v>
      </c>
      <c r="H13">
        <v>1</v>
      </c>
      <c r="I13">
        <v>1</v>
      </c>
      <c r="K13">
        <v>12</v>
      </c>
      <c r="L13">
        <v>10</v>
      </c>
      <c r="M13">
        <v>8</v>
      </c>
      <c r="Q13">
        <v>3</v>
      </c>
      <c r="R13">
        <v>3</v>
      </c>
      <c r="U13">
        <v>1</v>
      </c>
      <c r="V13">
        <v>1</v>
      </c>
      <c r="W13" t="s">
        <v>189</v>
      </c>
    </row>
    <row r="14" spans="1:66" x14ac:dyDescent="0.2">
      <c r="A14">
        <v>11</v>
      </c>
      <c r="B14">
        <v>110</v>
      </c>
      <c r="G14" t="s">
        <v>185</v>
      </c>
      <c r="H14">
        <v>1</v>
      </c>
      <c r="I14">
        <v>1</v>
      </c>
      <c r="K14">
        <v>10</v>
      </c>
      <c r="L14">
        <v>9</v>
      </c>
      <c r="M14">
        <v>9</v>
      </c>
      <c r="Q14">
        <v>1</v>
      </c>
      <c r="R14">
        <v>1</v>
      </c>
      <c r="S14">
        <v>1</v>
      </c>
      <c r="X14">
        <v>1</v>
      </c>
    </row>
    <row r="15" spans="1:66" x14ac:dyDescent="0.2">
      <c r="A15">
        <v>12</v>
      </c>
      <c r="B15">
        <v>115</v>
      </c>
      <c r="C15">
        <v>1</v>
      </c>
      <c r="G15" t="s">
        <v>188</v>
      </c>
      <c r="H15">
        <v>2</v>
      </c>
      <c r="I15">
        <v>1</v>
      </c>
      <c r="K15">
        <v>9</v>
      </c>
      <c r="L15">
        <v>8</v>
      </c>
      <c r="M15">
        <v>8</v>
      </c>
      <c r="Q15">
        <v>1</v>
      </c>
      <c r="R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10</v>
      </c>
      <c r="I16">
        <f t="shared" si="0"/>
        <v>9</v>
      </c>
      <c r="J16">
        <f t="shared" si="0"/>
        <v>3</v>
      </c>
      <c r="K16">
        <f t="shared" si="0"/>
        <v>107</v>
      </c>
      <c r="L16">
        <f t="shared" si="0"/>
        <v>82</v>
      </c>
      <c r="M16">
        <f t="shared" si="0"/>
        <v>80</v>
      </c>
      <c r="N16">
        <f t="shared" si="0"/>
        <v>2</v>
      </c>
      <c r="O16">
        <f t="shared" si="0"/>
        <v>0</v>
      </c>
      <c r="P16">
        <f t="shared" si="0"/>
        <v>0</v>
      </c>
      <c r="Q16">
        <f>SUM(Q4:Q15)</f>
        <v>24</v>
      </c>
      <c r="R16">
        <f>SUM(R4:R15)</f>
        <v>24</v>
      </c>
      <c r="S16">
        <f>SUM(S4:S15)</f>
        <v>3</v>
      </c>
      <c r="T16">
        <v>0</v>
      </c>
      <c r="U16">
        <f>SUM(U4:U15)</f>
        <v>3</v>
      </c>
      <c r="V16">
        <f>SUM(V4:V15)</f>
        <v>3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0.25</v>
      </c>
      <c r="O22">
        <f>MEDIAN(I54:I65)</f>
        <v>0</v>
      </c>
      <c r="P22">
        <f>MAX(I54:I65)</f>
        <v>2</v>
      </c>
      <c r="Q22">
        <f>_xlfn.STDEV.S(I54:I65)</f>
        <v>0.62158156050806102</v>
      </c>
      <c r="S22">
        <f>V16/U16</f>
        <v>1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0.88888888888888884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0.25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8.9166666666666661</v>
      </c>
      <c r="O25">
        <f>MEDIAN(K54:K65)</f>
        <v>10</v>
      </c>
      <c r="P25">
        <f>MAX(K54:K65)</f>
        <v>12</v>
      </c>
      <c r="Q25">
        <f>_xlfn.STDEV.S(K54:K65)</f>
        <v>3.4761089357690347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0.75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2.7272727272727271E-2</v>
      </c>
    </row>
    <row r="29" spans="1:66" x14ac:dyDescent="0.2">
      <c r="D29">
        <f>_xlfn.STDEV.S(A68:A79)</f>
        <v>0</v>
      </c>
      <c r="I29">
        <f>AVERAGE(C54:C65)</f>
        <v>2</v>
      </c>
      <c r="J29">
        <f>MAX(C54:C65)</f>
        <v>6</v>
      </c>
      <c r="K29">
        <f>_xlfn.STDEV.S(C54:C65)</f>
        <v>1.7580981459830651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0.97272727272727277</v>
      </c>
      <c r="S30">
        <f>_xlfn.STDEV.S(C68:C79)</f>
        <v>0.45226701686664544</v>
      </c>
    </row>
    <row r="31" spans="1:66" x14ac:dyDescent="0.2">
      <c r="D31" t="s">
        <v>179</v>
      </c>
      <c r="F31" t="s">
        <v>180</v>
      </c>
      <c r="I31">
        <f>M16/L16</f>
        <v>0.97560975609756095</v>
      </c>
      <c r="L31">
        <f>K80/I80</f>
        <v>0.94285714285714284</v>
      </c>
    </row>
    <row r="32" spans="1:66" x14ac:dyDescent="0.2">
      <c r="D32" t="e">
        <f>D94/B94</f>
        <v>#DIV/0!</v>
      </c>
      <c r="F32">
        <f>H94/F94</f>
        <v>0.5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6.666666666666667</v>
      </c>
      <c r="J34">
        <f>MAX(E54:E65)</f>
        <v>9</v>
      </c>
      <c r="K34">
        <f>_xlfn.STDEV.S(E54:E65)</f>
        <v>3.2844906435973877</v>
      </c>
      <c r="L34">
        <f>AVERAGE(K68:K79)</f>
        <v>8.25</v>
      </c>
      <c r="M34">
        <f>MAX(K68:K79)</f>
        <v>9</v>
      </c>
      <c r="N34">
        <f>_xlfn.STDEV.S(K68:K79)</f>
        <v>0.5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0.16666666666666666</v>
      </c>
      <c r="J37">
        <f>MAX(G54:G65)</f>
        <v>1</v>
      </c>
      <c r="K37">
        <f>_xlfn.STDEV.S(G54:G65)</f>
        <v>0.38924947208076149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9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9</v>
      </c>
      <c r="G55">
        <f t="shared" si="4"/>
        <v>1</v>
      </c>
      <c r="I55">
        <f t="shared" si="5"/>
        <v>0</v>
      </c>
      <c r="K55">
        <f t="shared" si="6"/>
        <v>11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0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6</v>
      </c>
      <c r="E57">
        <f t="shared" si="3"/>
        <v>6</v>
      </c>
      <c r="G57">
        <f t="shared" si="4"/>
        <v>0</v>
      </c>
      <c r="I57">
        <f t="shared" si="5"/>
        <v>0</v>
      </c>
      <c r="K57">
        <f t="shared" si="6"/>
        <v>12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9</v>
      </c>
      <c r="G58">
        <f t="shared" si="4"/>
        <v>0</v>
      </c>
      <c r="I58">
        <f t="shared" si="5"/>
        <v>0</v>
      </c>
      <c r="K58">
        <f t="shared" si="6"/>
        <v>10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>
        <f t="shared" si="17"/>
        <v>1</v>
      </c>
      <c r="AE58">
        <f t="shared" si="18"/>
        <v>1</v>
      </c>
    </row>
    <row r="59" spans="1:44" x14ac:dyDescent="0.2">
      <c r="A59">
        <f t="shared" si="1"/>
        <v>0</v>
      </c>
      <c r="C59">
        <f t="shared" si="2"/>
        <v>4</v>
      </c>
      <c r="E59">
        <f t="shared" si="3"/>
        <v>6</v>
      </c>
      <c r="G59">
        <f t="shared" si="4"/>
        <v>0</v>
      </c>
      <c r="I59">
        <f t="shared" si="5"/>
        <v>0</v>
      </c>
      <c r="K59">
        <f t="shared" si="6"/>
        <v>10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1</v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8</v>
      </c>
      <c r="G60">
        <f t="shared" si="4"/>
        <v>1</v>
      </c>
      <c r="I60">
        <f t="shared" si="5"/>
        <v>2</v>
      </c>
      <c r="K60">
        <f t="shared" si="6"/>
        <v>9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8</v>
      </c>
      <c r="G61">
        <f t="shared" si="4"/>
        <v>0</v>
      </c>
      <c r="I61">
        <f t="shared" si="5"/>
        <v>0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3</v>
      </c>
      <c r="E62">
        <f t="shared" si="3"/>
        <v>0</v>
      </c>
      <c r="G62">
        <f t="shared" si="4"/>
        <v>0</v>
      </c>
      <c r="I62">
        <f t="shared" si="5"/>
        <v>1</v>
      </c>
      <c r="K62">
        <f t="shared" si="6"/>
        <v>4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3</v>
      </c>
      <c r="E63">
        <f t="shared" si="3"/>
        <v>8</v>
      </c>
      <c r="G63">
        <f t="shared" si="4"/>
        <v>0</v>
      </c>
      <c r="I63">
        <f t="shared" si="5"/>
        <v>0</v>
      </c>
      <c r="K63">
        <f t="shared" si="6"/>
        <v>12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>
        <f t="shared" si="17"/>
        <v>1</v>
      </c>
      <c r="AE63">
        <f t="shared" si="18"/>
        <v>1</v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9</v>
      </c>
      <c r="G64">
        <f t="shared" si="4"/>
        <v>0</v>
      </c>
      <c r="I64">
        <f t="shared" si="5"/>
        <v>0</v>
      </c>
      <c r="K64">
        <f t="shared" si="6"/>
        <v>10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8</v>
      </c>
      <c r="G65">
        <f t="shared" si="4"/>
        <v>0</v>
      </c>
      <c r="I65">
        <f t="shared" si="5"/>
        <v>0</v>
      </c>
      <c r="K65">
        <f t="shared" si="6"/>
        <v>9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2</v>
      </c>
      <c r="V65">
        <f t="shared" si="14"/>
        <v>1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9</v>
      </c>
      <c r="V66">
        <f>SUM(V54:V65)</f>
        <v>8</v>
      </c>
      <c r="Y66">
        <f>SUM(Y54:Y65)</f>
        <v>0</v>
      </c>
      <c r="AA66">
        <f>SUM(AA54:AA65)</f>
        <v>0</v>
      </c>
      <c r="AC66">
        <f>SUM(AC54:AC65)</f>
        <v>3</v>
      </c>
      <c r="AE66">
        <f>SUM(AE54:AE65)</f>
        <v>3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11</v>
      </c>
      <c r="G68">
        <f>AVERAGE(E68:E79)</f>
        <v>9.4166666666666661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11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0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13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11</v>
      </c>
      <c r="I72">
        <f t="shared" si="22"/>
        <v>9</v>
      </c>
      <c r="K72">
        <f t="shared" si="23"/>
        <v>9</v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11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9</v>
      </c>
      <c r="I74">
        <f t="shared" si="22"/>
        <v>8</v>
      </c>
      <c r="K74">
        <f t="shared" si="23"/>
        <v>8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11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12</v>
      </c>
      <c r="I77">
        <f t="shared" si="22"/>
        <v>10</v>
      </c>
      <c r="K77">
        <f t="shared" si="23"/>
        <v>8</v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11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10</v>
      </c>
      <c r="I79">
        <f t="shared" si="22"/>
        <v>8</v>
      </c>
      <c r="K79">
        <f t="shared" si="23"/>
        <v>8</v>
      </c>
    </row>
    <row r="80" spans="1:31" x14ac:dyDescent="0.2">
      <c r="H80" t="s">
        <v>168</v>
      </c>
      <c r="I80">
        <f>SUM(I68:I79)</f>
        <v>35</v>
      </c>
      <c r="K80">
        <f>SUM(K68:K79)</f>
        <v>33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1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2</v>
      </c>
      <c r="H94">
        <f>SUM(H82:H93)</f>
        <v>1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BN94"/>
  <sheetViews>
    <sheetView workbookViewId="0">
      <selection activeCell="A19" sqref="A1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C4">
        <v>1</v>
      </c>
      <c r="D4" t="s">
        <v>185</v>
      </c>
      <c r="E4">
        <v>1</v>
      </c>
      <c r="J4">
        <v>1</v>
      </c>
      <c r="K4">
        <v>4</v>
      </c>
      <c r="O4">
        <v>3</v>
      </c>
      <c r="P4">
        <v>3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18</v>
      </c>
      <c r="D5" t="s">
        <v>185</v>
      </c>
      <c r="E5">
        <v>1</v>
      </c>
      <c r="J5">
        <v>3</v>
      </c>
      <c r="K5">
        <v>4</v>
      </c>
      <c r="N5">
        <v>3</v>
      </c>
      <c r="O5">
        <v>5</v>
      </c>
      <c r="P5">
        <v>4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26</v>
      </c>
      <c r="K6">
        <v>4</v>
      </c>
      <c r="O6">
        <v>3</v>
      </c>
      <c r="P6">
        <v>3</v>
      </c>
      <c r="Q6">
        <v>2</v>
      </c>
      <c r="R6">
        <v>2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39</v>
      </c>
      <c r="J7">
        <v>1</v>
      </c>
      <c r="K7">
        <v>4</v>
      </c>
      <c r="N7">
        <v>2</v>
      </c>
      <c r="O7">
        <v>3</v>
      </c>
      <c r="P7">
        <v>3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45</v>
      </c>
      <c r="J8">
        <v>3</v>
      </c>
      <c r="K8">
        <v>3</v>
      </c>
      <c r="N8">
        <v>4</v>
      </c>
      <c r="O8">
        <v>3</v>
      </c>
      <c r="P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52</v>
      </c>
      <c r="K9">
        <v>4</v>
      </c>
      <c r="O9">
        <v>4</v>
      </c>
      <c r="P9">
        <v>4</v>
      </c>
      <c r="Q9">
        <v>1</v>
      </c>
      <c r="R9">
        <v>1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64</v>
      </c>
      <c r="G10" t="s">
        <v>185</v>
      </c>
      <c r="H10">
        <v>1</v>
      </c>
      <c r="I10">
        <v>1</v>
      </c>
      <c r="K10">
        <v>3</v>
      </c>
      <c r="O10">
        <v>3</v>
      </c>
      <c r="P10">
        <v>3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71</v>
      </c>
      <c r="G11" t="s">
        <v>188</v>
      </c>
      <c r="H11">
        <v>1</v>
      </c>
      <c r="I11">
        <v>1</v>
      </c>
      <c r="J11">
        <v>4</v>
      </c>
      <c r="K11">
        <v>4</v>
      </c>
      <c r="O11">
        <v>8</v>
      </c>
      <c r="P11">
        <v>7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89</v>
      </c>
      <c r="C12">
        <v>1</v>
      </c>
      <c r="D12" t="s">
        <v>185</v>
      </c>
      <c r="E12">
        <v>1</v>
      </c>
      <c r="J12">
        <v>1</v>
      </c>
      <c r="K12">
        <v>4</v>
      </c>
      <c r="N12">
        <v>3</v>
      </c>
      <c r="O12">
        <v>1</v>
      </c>
      <c r="P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95</v>
      </c>
      <c r="K13">
        <v>3</v>
      </c>
      <c r="O13">
        <v>4</v>
      </c>
      <c r="P13">
        <v>4</v>
      </c>
      <c r="S13">
        <v>1</v>
      </c>
      <c r="T13">
        <v>1</v>
      </c>
      <c r="U13">
        <v>1</v>
      </c>
      <c r="W13" t="s">
        <v>186</v>
      </c>
      <c r="X13">
        <v>1</v>
      </c>
    </row>
    <row r="14" spans="1:66" x14ac:dyDescent="0.2">
      <c r="A14">
        <v>11</v>
      </c>
      <c r="B14">
        <v>108</v>
      </c>
      <c r="C14">
        <v>1</v>
      </c>
      <c r="G14" t="s">
        <v>188</v>
      </c>
      <c r="H14">
        <v>1</v>
      </c>
      <c r="K14">
        <v>7</v>
      </c>
      <c r="O14">
        <v>6</v>
      </c>
      <c r="P14">
        <v>6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113</v>
      </c>
      <c r="K15">
        <v>6</v>
      </c>
      <c r="O15">
        <v>8</v>
      </c>
      <c r="P15">
        <v>6</v>
      </c>
      <c r="S15">
        <v>1</v>
      </c>
      <c r="T15">
        <v>1</v>
      </c>
      <c r="U15">
        <v>1</v>
      </c>
      <c r="W15" t="s">
        <v>186</v>
      </c>
      <c r="X15">
        <v>1</v>
      </c>
    </row>
    <row r="16" spans="1:66" x14ac:dyDescent="0.2">
      <c r="A16" t="s">
        <v>8</v>
      </c>
      <c r="C16">
        <f>SUM(C4:C15)</f>
        <v>3</v>
      </c>
      <c r="E16">
        <f>SUM(E4:E15)</f>
        <v>3</v>
      </c>
      <c r="F16">
        <f>SUM(F4:F15)</f>
        <v>0</v>
      </c>
      <c r="H16">
        <f t="shared" ref="H16:P16" si="0">SUM(H4:H15)</f>
        <v>3</v>
      </c>
      <c r="I16">
        <f t="shared" si="0"/>
        <v>2</v>
      </c>
      <c r="J16">
        <f t="shared" si="0"/>
        <v>13</v>
      </c>
      <c r="K16">
        <f t="shared" si="0"/>
        <v>50</v>
      </c>
      <c r="L16">
        <f t="shared" si="0"/>
        <v>0</v>
      </c>
      <c r="M16">
        <f t="shared" si="0"/>
        <v>0</v>
      </c>
      <c r="N16">
        <f t="shared" si="0"/>
        <v>12</v>
      </c>
      <c r="O16">
        <f t="shared" si="0"/>
        <v>51</v>
      </c>
      <c r="P16">
        <f t="shared" si="0"/>
        <v>47</v>
      </c>
      <c r="Q16">
        <f>SUM(Q4:Q15)</f>
        <v>4</v>
      </c>
      <c r="R16">
        <f>SUM(R4:R15)</f>
        <v>4</v>
      </c>
      <c r="S16">
        <f>SUM(S4:S15)</f>
        <v>4</v>
      </c>
      <c r="T16">
        <v>0</v>
      </c>
      <c r="U16">
        <f>SUM(U4:U15)</f>
        <v>9</v>
      </c>
      <c r="V16">
        <f>SUM(V4:V15)</f>
        <v>6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0.66666666666666663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0.92156862745098034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</v>
      </c>
      <c r="F22">
        <f>T66/S66</f>
        <v>1</v>
      </c>
      <c r="I22" t="s">
        <v>23</v>
      </c>
      <c r="N22">
        <f>AVERAGE(I54:I65)</f>
        <v>1.0833333333333333</v>
      </c>
      <c r="O22">
        <f>MEDIAN(I54:I65)</f>
        <v>0.5</v>
      </c>
      <c r="P22">
        <f>MAX(I54:I65)</f>
        <v>4</v>
      </c>
      <c r="Q22">
        <f>_xlfn.STDEV.S(I54:I65)</f>
        <v>1.4433756729740643</v>
      </c>
      <c r="S22">
        <f>V16/U16</f>
        <v>0.66666666666666663</v>
      </c>
      <c r="U22">
        <f>AA66/Y66</f>
        <v>0.66666666666666663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0.5</v>
      </c>
      <c r="I24">
        <f>AVERAGE(A54:A65)</f>
        <v>3.9166666666666665</v>
      </c>
      <c r="J24">
        <f>MAX(A54:A65)</f>
        <v>7</v>
      </c>
      <c r="K24">
        <f>_xlfn.STDEV.S(A54:A65)</f>
        <v>1.6764862244009222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4.166666666666667</v>
      </c>
      <c r="O25">
        <f>MEDIAN(K54:K65)</f>
        <v>4</v>
      </c>
      <c r="P25">
        <f>MAX(K54:K65)</f>
        <v>7</v>
      </c>
      <c r="Q25">
        <f>_xlfn.STDEV.S(K54:K65)</f>
        <v>1.1934162828797097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0.16666666666666666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0.20634920634920634</v>
      </c>
    </row>
    <row r="29" spans="1:66" x14ac:dyDescent="0.2">
      <c r="D29">
        <f>_xlfn.STDEV.S(A68:A79)</f>
        <v>0.57735026918962584</v>
      </c>
      <c r="I29">
        <f>AVERAGE(C54:C65)</f>
        <v>0.33333333333333331</v>
      </c>
      <c r="J29">
        <f>MAX(C54:C65)</f>
        <v>2</v>
      </c>
      <c r="K29">
        <f>_xlfn.STDEV.S(C54:C65)</f>
        <v>0.6513389472789296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0.79365079365079361</v>
      </c>
      <c r="S30">
        <f>_xlfn.STDEV.S(C68:C79)</f>
        <v>0.5222329678670935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</v>
      </c>
      <c r="J34">
        <f>MAX(E54:E65)</f>
        <v>0</v>
      </c>
      <c r="K34">
        <f>_xlfn.STDEV.S(E54:E65)</f>
        <v>0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</v>
      </c>
      <c r="J37">
        <f>MAX(G54:G65)</f>
        <v>4</v>
      </c>
      <c r="K37">
        <f>_xlfn.STDEV.S(G54:G65)</f>
        <v>1.5374122295716148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4</v>
      </c>
      <c r="N54">
        <f t="shared" ref="N54:N65" si="7">IF($D4="d", $E4, "")</f>
        <v>1</v>
      </c>
      <c r="O54">
        <f t="shared" ref="O54:O65" si="8">IF($D4="d", $F4, "")</f>
        <v>0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3</v>
      </c>
      <c r="I55">
        <f t="shared" si="5"/>
        <v>3</v>
      </c>
      <c r="K55">
        <f t="shared" si="6"/>
        <v>4</v>
      </c>
      <c r="N55">
        <f t="shared" si="7"/>
        <v>1</v>
      </c>
      <c r="O55">
        <f t="shared" si="8"/>
        <v>0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2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3</v>
      </c>
      <c r="C57">
        <f t="shared" si="2"/>
        <v>0</v>
      </c>
      <c r="E57">
        <f t="shared" si="3"/>
        <v>0</v>
      </c>
      <c r="G57">
        <f t="shared" si="4"/>
        <v>2</v>
      </c>
      <c r="I57">
        <f t="shared" si="5"/>
        <v>1</v>
      </c>
      <c r="K57">
        <f t="shared" si="6"/>
        <v>4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0</v>
      </c>
      <c r="E58">
        <f t="shared" si="3"/>
        <v>0</v>
      </c>
      <c r="G58">
        <f t="shared" si="4"/>
        <v>4</v>
      </c>
      <c r="I58">
        <f t="shared" si="5"/>
        <v>3</v>
      </c>
      <c r="K58">
        <f t="shared" si="6"/>
        <v>3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1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4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3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7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4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0</v>
      </c>
      <c r="E62">
        <f t="shared" si="3"/>
        <v>0</v>
      </c>
      <c r="G62">
        <f t="shared" si="4"/>
        <v>3</v>
      </c>
      <c r="I62">
        <f t="shared" si="5"/>
        <v>1</v>
      </c>
      <c r="K62">
        <f t="shared" si="6"/>
        <v>4</v>
      </c>
      <c r="N62">
        <f t="shared" si="7"/>
        <v>1</v>
      </c>
      <c r="O62">
        <f t="shared" si="8"/>
        <v>0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3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0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6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0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6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0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3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2</v>
      </c>
      <c r="V66">
        <f>SUM(V54:V65)</f>
        <v>1</v>
      </c>
      <c r="Y66">
        <f>SUM(Y54:Y65)</f>
        <v>9</v>
      </c>
      <c r="AA66">
        <f>SUM(AA54:AA65)</f>
        <v>6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4.416666666666667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3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3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8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1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0</v>
      </c>
      <c r="C78">
        <f t="shared" si="20"/>
        <v>1</v>
      </c>
      <c r="E78">
        <f t="shared" si="21"/>
        <v>6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6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BN94"/>
  <sheetViews>
    <sheetView topLeftCell="S1" workbookViewId="0">
      <selection activeCell="T5" sqref="T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K4">
        <v>7</v>
      </c>
      <c r="L4">
        <v>3</v>
      </c>
      <c r="M4">
        <v>3</v>
      </c>
      <c r="O4">
        <v>2</v>
      </c>
      <c r="P4">
        <v>2</v>
      </c>
      <c r="Q4">
        <v>3</v>
      </c>
      <c r="R4">
        <v>3</v>
      </c>
      <c r="X4">
        <v>1</v>
      </c>
    </row>
    <row r="5" spans="1:66" x14ac:dyDescent="0.2">
      <c r="A5">
        <v>2</v>
      </c>
      <c r="B5">
        <v>14</v>
      </c>
      <c r="K5">
        <v>8</v>
      </c>
      <c r="L5">
        <v>7</v>
      </c>
      <c r="M5">
        <v>6</v>
      </c>
      <c r="O5">
        <v>2</v>
      </c>
      <c r="P5">
        <v>2</v>
      </c>
      <c r="U5">
        <v>1</v>
      </c>
      <c r="V5">
        <v>1</v>
      </c>
      <c r="W5" t="s">
        <v>186</v>
      </c>
      <c r="X5">
        <v>1</v>
      </c>
    </row>
    <row r="6" spans="1:66" x14ac:dyDescent="0.2">
      <c r="A6">
        <v>3</v>
      </c>
      <c r="B6">
        <v>24</v>
      </c>
      <c r="K6">
        <v>3</v>
      </c>
      <c r="O6">
        <v>4</v>
      </c>
      <c r="P6">
        <v>4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40</v>
      </c>
      <c r="G7" t="s">
        <v>188</v>
      </c>
      <c r="H7">
        <v>1</v>
      </c>
      <c r="J7">
        <v>2</v>
      </c>
      <c r="K7">
        <v>5</v>
      </c>
      <c r="O7">
        <v>5</v>
      </c>
      <c r="P7">
        <v>5</v>
      </c>
      <c r="Q7">
        <v>2</v>
      </c>
      <c r="R7">
        <v>2</v>
      </c>
      <c r="S7">
        <v>1</v>
      </c>
      <c r="T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48</v>
      </c>
      <c r="C8">
        <v>1</v>
      </c>
      <c r="G8" t="s">
        <v>185</v>
      </c>
      <c r="H8">
        <v>1</v>
      </c>
      <c r="I8">
        <v>1</v>
      </c>
      <c r="J8">
        <v>1</v>
      </c>
      <c r="K8">
        <v>5</v>
      </c>
      <c r="O8">
        <v>6</v>
      </c>
      <c r="P8">
        <v>2</v>
      </c>
      <c r="X8">
        <v>1</v>
      </c>
    </row>
    <row r="9" spans="1:66" x14ac:dyDescent="0.2">
      <c r="A9">
        <v>6</v>
      </c>
      <c r="B9">
        <v>57</v>
      </c>
      <c r="D9" t="s">
        <v>185</v>
      </c>
      <c r="E9">
        <v>2</v>
      </c>
      <c r="K9">
        <v>5</v>
      </c>
      <c r="O9">
        <v>6</v>
      </c>
      <c r="P9">
        <v>5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66</v>
      </c>
      <c r="D10" t="s">
        <v>185</v>
      </c>
      <c r="E10">
        <v>1</v>
      </c>
      <c r="F10">
        <v>1</v>
      </c>
      <c r="J10">
        <v>2</v>
      </c>
      <c r="K10">
        <v>5</v>
      </c>
      <c r="O10">
        <v>6</v>
      </c>
      <c r="P10">
        <v>4</v>
      </c>
      <c r="Q10">
        <v>1</v>
      </c>
      <c r="R10">
        <v>1</v>
      </c>
      <c r="X10">
        <v>1</v>
      </c>
    </row>
    <row r="11" spans="1:66" x14ac:dyDescent="0.2">
      <c r="A11">
        <v>8</v>
      </c>
      <c r="B11">
        <v>71</v>
      </c>
      <c r="C11">
        <v>1</v>
      </c>
      <c r="D11" t="s">
        <v>188</v>
      </c>
      <c r="E11">
        <v>1</v>
      </c>
      <c r="J11">
        <v>1</v>
      </c>
      <c r="K11">
        <v>5</v>
      </c>
      <c r="O11">
        <v>7</v>
      </c>
      <c r="P11">
        <v>5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82</v>
      </c>
      <c r="C12">
        <v>1</v>
      </c>
      <c r="D12" t="s">
        <v>185</v>
      </c>
      <c r="E12">
        <v>1</v>
      </c>
      <c r="F12">
        <v>1</v>
      </c>
      <c r="K12">
        <v>8</v>
      </c>
      <c r="L12">
        <v>6</v>
      </c>
      <c r="M12">
        <v>6</v>
      </c>
      <c r="Q12">
        <v>2</v>
      </c>
      <c r="R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91</v>
      </c>
      <c r="C13">
        <v>1</v>
      </c>
      <c r="D13" t="s">
        <v>185</v>
      </c>
      <c r="E13">
        <v>1</v>
      </c>
      <c r="K13">
        <v>6</v>
      </c>
      <c r="O13">
        <v>7</v>
      </c>
      <c r="P13">
        <v>6</v>
      </c>
      <c r="U13">
        <v>1</v>
      </c>
      <c r="V13">
        <v>1</v>
      </c>
      <c r="W13" t="s">
        <v>189</v>
      </c>
    </row>
    <row r="14" spans="1:66" x14ac:dyDescent="0.2">
      <c r="A14">
        <v>11</v>
      </c>
      <c r="B14">
        <v>110</v>
      </c>
      <c r="D14" t="s">
        <v>188</v>
      </c>
      <c r="E14">
        <v>1</v>
      </c>
      <c r="F14">
        <v>1</v>
      </c>
      <c r="K14">
        <v>1</v>
      </c>
      <c r="O14">
        <v>1</v>
      </c>
      <c r="P14">
        <v>1</v>
      </c>
      <c r="X14">
        <v>1</v>
      </c>
    </row>
    <row r="15" spans="1:66" x14ac:dyDescent="0.2">
      <c r="A15">
        <v>12</v>
      </c>
      <c r="B15">
        <v>115</v>
      </c>
      <c r="D15" t="s">
        <v>185</v>
      </c>
      <c r="E15">
        <v>1</v>
      </c>
      <c r="K15">
        <v>7</v>
      </c>
      <c r="O15">
        <v>7</v>
      </c>
      <c r="P15">
        <v>7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8</v>
      </c>
      <c r="F16">
        <f>SUM(F4:F15)</f>
        <v>3</v>
      </c>
      <c r="H16">
        <f t="shared" ref="H16:P16" si="0">SUM(H4:H15)</f>
        <v>2</v>
      </c>
      <c r="I16">
        <f t="shared" si="0"/>
        <v>1</v>
      </c>
      <c r="J16">
        <f t="shared" si="0"/>
        <v>6</v>
      </c>
      <c r="K16">
        <f t="shared" si="0"/>
        <v>65</v>
      </c>
      <c r="L16">
        <f t="shared" si="0"/>
        <v>16</v>
      </c>
      <c r="M16">
        <f t="shared" si="0"/>
        <v>15</v>
      </c>
      <c r="N16">
        <f t="shared" si="0"/>
        <v>0</v>
      </c>
      <c r="O16">
        <f t="shared" si="0"/>
        <v>53</v>
      </c>
      <c r="P16">
        <f t="shared" si="0"/>
        <v>43</v>
      </c>
      <c r="Q16">
        <f>SUM(Q4:Q15)</f>
        <v>8</v>
      </c>
      <c r="R16">
        <f>SUM(R4:R15)</f>
        <v>8</v>
      </c>
      <c r="S16">
        <f>SUM(S4:S15)</f>
        <v>3</v>
      </c>
      <c r="T16">
        <v>0</v>
      </c>
      <c r="U16">
        <f>SUM(U4:U15)</f>
        <v>6</v>
      </c>
      <c r="V16">
        <f>SUM(V4:V15)</f>
        <v>4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0.42857142857142855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0.81132075471698117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0.33333333333333331</v>
      </c>
      <c r="F22">
        <f>T66/S66</f>
        <v>1</v>
      </c>
      <c r="I22" t="s">
        <v>23</v>
      </c>
      <c r="N22">
        <f>AVERAGE(I54:I65)</f>
        <v>0.5</v>
      </c>
      <c r="O22">
        <f>MEDIAN(I54:I65)</f>
        <v>0</v>
      </c>
      <c r="P22">
        <f>MAX(I54:I65)</f>
        <v>2</v>
      </c>
      <c r="Q22">
        <f>_xlfn.STDEV.S(I54:I65)</f>
        <v>0.7977240352174656</v>
      </c>
      <c r="S22">
        <f>V16/U16</f>
        <v>0.66666666666666663</v>
      </c>
      <c r="U22">
        <f>AA66/Y66</f>
        <v>0.6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0.5</v>
      </c>
      <c r="F24">
        <f>V66/U66</f>
        <v>0</v>
      </c>
      <c r="I24">
        <f>AVERAGE(A54:A65)</f>
        <v>3.5833333333333335</v>
      </c>
      <c r="J24">
        <f>MAX(A54:A65)</f>
        <v>7</v>
      </c>
      <c r="K24">
        <f>_xlfn.STDEV.S(A54:A65)</f>
        <v>2.1514618004482156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5.416666666666667</v>
      </c>
      <c r="O25">
        <f>MEDIAN(K54:K65)</f>
        <v>5</v>
      </c>
      <c r="P25">
        <f>MAX(K54:K65)</f>
        <v>8</v>
      </c>
      <c r="Q25">
        <f>_xlfn.STDEV.S(K54:K65)</f>
        <v>2.0207259421636907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0.25</v>
      </c>
      <c r="F26">
        <f>I16/A19</f>
        <v>8.3333333333333329E-2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8.4507042253521125E-2</v>
      </c>
    </row>
    <row r="29" spans="1:66" x14ac:dyDescent="0.2">
      <c r="D29">
        <f>_xlfn.STDEV.S(A68:A79)</f>
        <v>0.70710678118654757</v>
      </c>
      <c r="I29">
        <f>AVERAGE(C54:C65)</f>
        <v>0.66666666666666663</v>
      </c>
      <c r="J29">
        <f>MAX(C54:C65)</f>
        <v>3</v>
      </c>
      <c r="K29">
        <f>_xlfn.STDEV.S(C54:C65)</f>
        <v>1.0730867399773196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0.91549295774647887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0.9375</v>
      </c>
      <c r="L31">
        <f>K80/I80</f>
        <v>1</v>
      </c>
    </row>
    <row r="32" spans="1:66" x14ac:dyDescent="0.2">
      <c r="D32">
        <f>D94/B94</f>
        <v>0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1.25</v>
      </c>
      <c r="J34">
        <f>MAX(E54:E65)</f>
        <v>6</v>
      </c>
      <c r="K34">
        <f>_xlfn.STDEV.S(E54:E65)</f>
        <v>2.3788843832962772</v>
      </c>
      <c r="L34">
        <f>AVERAGE(K68:K79)</f>
        <v>1.5</v>
      </c>
      <c r="M34">
        <f>MAX(K68:K79)</f>
        <v>6</v>
      </c>
      <c r="N34">
        <f>_xlfn.STDEV.S(K68:K79)</f>
        <v>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</v>
      </c>
      <c r="J37">
        <f>MAX(G54:G65)</f>
        <v>0</v>
      </c>
      <c r="K37">
        <f>_xlfn.STDEV.S(G54:G65)</f>
        <v>0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2</v>
      </c>
      <c r="C54">
        <f t="shared" ref="C54:C65" si="2">IF(ISBLANK(B4),"",R4)</f>
        <v>3</v>
      </c>
      <c r="E54">
        <f t="shared" ref="E54:E65" si="3">IF(ISBLANK(B4),"",M4)</f>
        <v>3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0</v>
      </c>
      <c r="E55">
        <f t="shared" si="3"/>
        <v>6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5</v>
      </c>
      <c r="C57">
        <f t="shared" si="2"/>
        <v>2</v>
      </c>
      <c r="E57">
        <f t="shared" si="3"/>
        <v>0</v>
      </c>
      <c r="G57">
        <f t="shared" si="4"/>
        <v>0</v>
      </c>
      <c r="I57">
        <f t="shared" si="5"/>
        <v>2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0</v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2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5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>
        <f t="shared" si="7"/>
        <v>2</v>
      </c>
      <c r="O59">
        <f t="shared" si="8"/>
        <v>0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4</v>
      </c>
      <c r="C60">
        <f t="shared" si="2"/>
        <v>1</v>
      </c>
      <c r="E60">
        <f t="shared" si="3"/>
        <v>0</v>
      </c>
      <c r="G60">
        <f t="shared" si="4"/>
        <v>0</v>
      </c>
      <c r="I60">
        <f t="shared" si="5"/>
        <v>2</v>
      </c>
      <c r="K60">
        <f t="shared" si="6"/>
        <v>5</v>
      </c>
      <c r="N60">
        <f t="shared" si="7"/>
        <v>1</v>
      </c>
      <c r="O60">
        <f t="shared" si="8"/>
        <v>1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5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1</v>
      </c>
      <c r="K61">
        <f t="shared" si="6"/>
        <v>5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0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8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6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6</v>
      </c>
      <c r="N63">
        <f t="shared" si="7"/>
        <v>1</v>
      </c>
      <c r="O63">
        <f t="shared" si="8"/>
        <v>0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>
        <f t="shared" si="17"/>
        <v>1</v>
      </c>
      <c r="AE63">
        <f t="shared" si="18"/>
        <v>1</v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1</v>
      </c>
      <c r="N64" t="str">
        <f t="shared" si="7"/>
        <v/>
      </c>
      <c r="O64" t="str">
        <f t="shared" si="8"/>
        <v/>
      </c>
      <c r="P64">
        <f t="shared" si="9"/>
        <v>1</v>
      </c>
      <c r="Q64">
        <f t="shared" si="10"/>
        <v>1</v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7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7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6</v>
      </c>
      <c r="O66">
        <f>SUM(O54:O65)</f>
        <v>2</v>
      </c>
      <c r="P66">
        <f>SUM(P54:P65)</f>
        <v>2</v>
      </c>
      <c r="Q66">
        <f>SUM(Q54:Q65)</f>
        <v>1</v>
      </c>
      <c r="S66">
        <f>SUM(S54:S65)</f>
        <v>1</v>
      </c>
      <c r="T66">
        <f>SUM(T54:T65)</f>
        <v>1</v>
      </c>
      <c r="U66">
        <f>SUM(U54:U65)</f>
        <v>1</v>
      </c>
      <c r="V66">
        <f>SUM(V54:V65)</f>
        <v>0</v>
      </c>
      <c r="Y66">
        <f>SUM(Y54:Y65)</f>
        <v>5</v>
      </c>
      <c r="AA66">
        <f>SUM(AA54:AA65)</f>
        <v>3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8</v>
      </c>
      <c r="G68">
        <f>AVERAGE(E68:E79)</f>
        <v>5.833333333333333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8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4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0</v>
      </c>
      <c r="C71">
        <f t="shared" si="20"/>
        <v>0</v>
      </c>
      <c r="E71">
        <f t="shared" si="21"/>
        <v>7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3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6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5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9</v>
      </c>
      <c r="I76">
        <f t="shared" si="22"/>
        <v>6</v>
      </c>
      <c r="K76">
        <f t="shared" si="23"/>
        <v>6</v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6</v>
      </c>
      <c r="I77">
        <f t="shared" si="22"/>
        <v>0</v>
      </c>
      <c r="K77">
        <f t="shared" si="23"/>
        <v>0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2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6</v>
      </c>
      <c r="K80">
        <f>SUM(K68:K79)</f>
        <v>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>
        <f t="shared" si="24"/>
        <v>2</v>
      </c>
      <c r="D87">
        <f t="shared" si="25"/>
        <v>0</v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2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C4">
        <v>1</v>
      </c>
      <c r="K4">
        <v>9</v>
      </c>
      <c r="L4">
        <v>9</v>
      </c>
      <c r="M4">
        <v>9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14</v>
      </c>
      <c r="K5">
        <v>2</v>
      </c>
      <c r="O5">
        <v>2</v>
      </c>
      <c r="P5">
        <v>2</v>
      </c>
      <c r="Q5">
        <v>1</v>
      </c>
      <c r="R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23</v>
      </c>
      <c r="C6">
        <v>1</v>
      </c>
      <c r="K6">
        <v>6</v>
      </c>
      <c r="L6">
        <v>5</v>
      </c>
      <c r="M6">
        <v>5</v>
      </c>
      <c r="Q6">
        <v>2</v>
      </c>
      <c r="R6">
        <v>2</v>
      </c>
      <c r="X6">
        <v>1</v>
      </c>
    </row>
    <row r="7" spans="1:66" x14ac:dyDescent="0.2">
      <c r="A7">
        <v>4</v>
      </c>
      <c r="B7">
        <v>36</v>
      </c>
      <c r="C7">
        <v>1</v>
      </c>
      <c r="K7">
        <v>6</v>
      </c>
      <c r="N7">
        <v>1</v>
      </c>
      <c r="O7">
        <v>4</v>
      </c>
      <c r="P7">
        <v>3</v>
      </c>
      <c r="X7">
        <v>1</v>
      </c>
    </row>
    <row r="8" spans="1:66" x14ac:dyDescent="0.2">
      <c r="A8">
        <v>5</v>
      </c>
      <c r="B8">
        <v>49</v>
      </c>
      <c r="J8">
        <v>1</v>
      </c>
      <c r="K8">
        <v>9</v>
      </c>
      <c r="L8">
        <v>9</v>
      </c>
      <c r="M8">
        <v>9</v>
      </c>
      <c r="Q8">
        <v>2</v>
      </c>
      <c r="R8">
        <v>2</v>
      </c>
      <c r="X8">
        <v>1</v>
      </c>
    </row>
    <row r="9" spans="1:66" x14ac:dyDescent="0.2">
      <c r="A9">
        <v>6</v>
      </c>
      <c r="B9">
        <v>54</v>
      </c>
      <c r="K9">
        <v>5</v>
      </c>
      <c r="L9">
        <v>3</v>
      </c>
      <c r="M9">
        <v>3</v>
      </c>
      <c r="O9">
        <v>2</v>
      </c>
      <c r="P9">
        <v>2</v>
      </c>
      <c r="S9">
        <v>1</v>
      </c>
      <c r="T9">
        <v>1</v>
      </c>
      <c r="U9">
        <v>1</v>
      </c>
      <c r="W9" t="s">
        <v>186</v>
      </c>
    </row>
    <row r="10" spans="1:66" x14ac:dyDescent="0.2">
      <c r="A10">
        <v>7</v>
      </c>
      <c r="B10">
        <v>69</v>
      </c>
      <c r="C10">
        <v>1</v>
      </c>
      <c r="K10">
        <v>10</v>
      </c>
      <c r="L10">
        <v>9</v>
      </c>
      <c r="M10">
        <v>9</v>
      </c>
      <c r="Q10">
        <v>1</v>
      </c>
      <c r="R10">
        <v>1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77</v>
      </c>
      <c r="K11">
        <v>5</v>
      </c>
      <c r="L11">
        <v>1</v>
      </c>
      <c r="M11">
        <v>1</v>
      </c>
      <c r="O11">
        <v>4</v>
      </c>
      <c r="P11">
        <v>4</v>
      </c>
      <c r="X11">
        <v>1</v>
      </c>
    </row>
    <row r="12" spans="1:66" x14ac:dyDescent="0.2">
      <c r="A12">
        <v>9</v>
      </c>
      <c r="B12">
        <v>83</v>
      </c>
      <c r="K12">
        <v>7</v>
      </c>
      <c r="L12">
        <v>6</v>
      </c>
      <c r="M12">
        <v>6</v>
      </c>
      <c r="Q12">
        <v>2</v>
      </c>
      <c r="R12">
        <v>2</v>
      </c>
      <c r="S12">
        <v>1</v>
      </c>
      <c r="X12">
        <v>1</v>
      </c>
    </row>
    <row r="13" spans="1:66" x14ac:dyDescent="0.2">
      <c r="A13">
        <v>10</v>
      </c>
      <c r="B13">
        <v>95</v>
      </c>
      <c r="G13" t="s">
        <v>185</v>
      </c>
      <c r="H13">
        <v>1</v>
      </c>
      <c r="I13">
        <v>1</v>
      </c>
      <c r="K13">
        <v>9</v>
      </c>
      <c r="L13">
        <v>6</v>
      </c>
      <c r="M13">
        <v>6</v>
      </c>
      <c r="Q13">
        <v>3</v>
      </c>
      <c r="R13">
        <v>3</v>
      </c>
      <c r="S13">
        <v>1</v>
      </c>
      <c r="X13">
        <v>1</v>
      </c>
    </row>
    <row r="14" spans="1:66" x14ac:dyDescent="0.2">
      <c r="A14">
        <v>11</v>
      </c>
      <c r="B14">
        <v>110</v>
      </c>
      <c r="K14">
        <v>6</v>
      </c>
      <c r="L14">
        <v>6</v>
      </c>
      <c r="M14">
        <v>6</v>
      </c>
      <c r="Q14">
        <v>1</v>
      </c>
      <c r="R14">
        <v>1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117</v>
      </c>
      <c r="G15" t="s">
        <v>185</v>
      </c>
      <c r="H15">
        <v>1</v>
      </c>
      <c r="I15">
        <v>1</v>
      </c>
      <c r="K15">
        <v>1</v>
      </c>
      <c r="Q15">
        <v>1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2</v>
      </c>
      <c r="I16">
        <f t="shared" si="0"/>
        <v>2</v>
      </c>
      <c r="J16">
        <f t="shared" si="0"/>
        <v>1</v>
      </c>
      <c r="K16">
        <f t="shared" si="0"/>
        <v>75</v>
      </c>
      <c r="L16">
        <f t="shared" si="0"/>
        <v>54</v>
      </c>
      <c r="M16">
        <f t="shared" si="0"/>
        <v>54</v>
      </c>
      <c r="N16">
        <f t="shared" si="0"/>
        <v>1</v>
      </c>
      <c r="O16">
        <f t="shared" si="0"/>
        <v>12</v>
      </c>
      <c r="P16">
        <f t="shared" si="0"/>
        <v>11</v>
      </c>
      <c r="Q16">
        <f>SUM(Q4:Q15)</f>
        <v>14</v>
      </c>
      <c r="R16">
        <f>SUM(R4:R15)</f>
        <v>13</v>
      </c>
      <c r="S16">
        <f>SUM(S4:S15)</f>
        <v>5</v>
      </c>
      <c r="T16">
        <v>0</v>
      </c>
      <c r="U16">
        <f>SUM(U4:U15)</f>
        <v>3</v>
      </c>
      <c r="V16">
        <f>SUM(V4:V15)</f>
        <v>2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0.91666666666666663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8.3333333333333329E-2</v>
      </c>
      <c r="O22">
        <f>MEDIAN(I54:I65)</f>
        <v>0</v>
      </c>
      <c r="P22">
        <f>MAX(I54:I65)</f>
        <v>1</v>
      </c>
      <c r="Q22">
        <f>_xlfn.STDEV.S(I54:I65)</f>
        <v>0.28867513459481287</v>
      </c>
      <c r="S22">
        <f>V16/U16</f>
        <v>0.66666666666666663</v>
      </c>
      <c r="U22">
        <f>AA66/Y66</f>
        <v>0.66666666666666663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0.91666666666666663</v>
      </c>
      <c r="J24">
        <f>MAX(A54:A65)</f>
        <v>4</v>
      </c>
      <c r="K24">
        <f>_xlfn.STDEV.S(A54:A65)</f>
        <v>1.4433756729740643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0.16666666666666666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6.25</v>
      </c>
      <c r="O25">
        <f>MEDIAN(K54:K65)</f>
        <v>6</v>
      </c>
      <c r="P25">
        <f>MAX(K54:K65)</f>
        <v>10</v>
      </c>
      <c r="Q25">
        <f>_xlfn.STDEV.S(K54:K65)</f>
        <v>2.8001623329566252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0.16666666666666666</v>
      </c>
      <c r="I26">
        <f>R16/Q16</f>
        <v>0.9285714285714286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1.3157894736842105E-2</v>
      </c>
    </row>
    <row r="29" spans="1:66" x14ac:dyDescent="0.2">
      <c r="D29">
        <f>_xlfn.STDEV.S(A68:A79)</f>
        <v>0</v>
      </c>
      <c r="I29">
        <f>AVERAGE(C54:C65)</f>
        <v>1.0833333333333333</v>
      </c>
      <c r="J29">
        <f>MAX(C54:C65)</f>
        <v>3</v>
      </c>
      <c r="K29">
        <f>_xlfn.STDEV.S(C54:C65)</f>
        <v>0.99620491989562188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0.98684210526315785</v>
      </c>
      <c r="S30">
        <f>_xlfn.STDEV.S(C68:C79)</f>
        <v>0.38924947208076149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4.5</v>
      </c>
      <c r="J34">
        <f>MAX(E54:E65)</f>
        <v>9</v>
      </c>
      <c r="K34">
        <f>_xlfn.STDEV.S(E54:E65)</f>
        <v>3.6055512754639891</v>
      </c>
      <c r="L34">
        <f>AVERAGE(K68:K79)</f>
        <v>5.75</v>
      </c>
      <c r="M34">
        <f>MAX(K68:K79)</f>
        <v>9</v>
      </c>
      <c r="N34">
        <f>_xlfn.STDEV.S(K68:K79)</f>
        <v>4.2720018726587652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8.3333333333333329E-2</v>
      </c>
      <c r="J37">
        <f>MAX(G54:G65)</f>
        <v>1</v>
      </c>
      <c r="K37">
        <f>_xlfn.STDEV.S(G54:G65)</f>
        <v>0.28867513459481287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9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9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2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2</v>
      </c>
      <c r="E56">
        <f t="shared" si="3"/>
        <v>5</v>
      </c>
      <c r="G56">
        <f t="shared" si="4"/>
        <v>0</v>
      </c>
      <c r="I56">
        <f t="shared" si="5"/>
        <v>0</v>
      </c>
      <c r="K56">
        <f t="shared" si="6"/>
        <v>6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3</v>
      </c>
      <c r="C57">
        <f t="shared" si="2"/>
        <v>0</v>
      </c>
      <c r="E57">
        <f t="shared" si="3"/>
        <v>0</v>
      </c>
      <c r="G57">
        <f t="shared" si="4"/>
        <v>1</v>
      </c>
      <c r="I57">
        <f t="shared" si="5"/>
        <v>0</v>
      </c>
      <c r="K57">
        <f t="shared" si="6"/>
        <v>6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9</v>
      </c>
      <c r="G58">
        <f t="shared" si="4"/>
        <v>0</v>
      </c>
      <c r="I58">
        <f t="shared" si="5"/>
        <v>1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2</v>
      </c>
      <c r="C59">
        <f t="shared" si="2"/>
        <v>0</v>
      </c>
      <c r="E59">
        <f t="shared" si="3"/>
        <v>3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1</v>
      </c>
      <c r="E60">
        <f t="shared" si="3"/>
        <v>9</v>
      </c>
      <c r="G60">
        <f t="shared" si="4"/>
        <v>0</v>
      </c>
      <c r="I60">
        <f t="shared" si="5"/>
        <v>0</v>
      </c>
      <c r="K60">
        <f t="shared" si="6"/>
        <v>10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4</v>
      </c>
      <c r="C61">
        <f t="shared" si="2"/>
        <v>0</v>
      </c>
      <c r="E61">
        <f t="shared" si="3"/>
        <v>1</v>
      </c>
      <c r="G61">
        <f t="shared" si="4"/>
        <v>0</v>
      </c>
      <c r="I61">
        <f t="shared" si="5"/>
        <v>0</v>
      </c>
      <c r="K61">
        <f t="shared" si="6"/>
        <v>5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3</v>
      </c>
      <c r="E63">
        <f t="shared" si="3"/>
        <v>6</v>
      </c>
      <c r="G63">
        <f t="shared" si="4"/>
        <v>0</v>
      </c>
      <c r="I63">
        <f t="shared" si="5"/>
        <v>0</v>
      </c>
      <c r="K63">
        <f t="shared" si="6"/>
        <v>9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6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1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2</v>
      </c>
      <c r="U66">
        <f>SUM(U54:U65)</f>
        <v>0</v>
      </c>
      <c r="V66">
        <f>SUM(V54:V65)</f>
        <v>0</v>
      </c>
      <c r="Y66">
        <f>SUM(Y54:Y65)</f>
        <v>3</v>
      </c>
      <c r="AA66">
        <f>SUM(AA54:AA65)</f>
        <v>2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10</v>
      </c>
      <c r="G68">
        <f>AVERAGE(E68:E79)</f>
        <v>6.666666666666667</v>
      </c>
      <c r="I68">
        <f>IF(ISBLANK(B4)+ISBLANK(C4), "", L4)</f>
        <v>9</v>
      </c>
      <c r="K68">
        <f>IF(ISBLANK(B4)+ISBLANK(C4), "", M4)</f>
        <v>9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3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7</v>
      </c>
      <c r="I70">
        <f t="shared" si="22"/>
        <v>5</v>
      </c>
      <c r="K70">
        <f t="shared" si="23"/>
        <v>5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3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11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10</v>
      </c>
      <c r="I74">
        <f t="shared" si="22"/>
        <v>9</v>
      </c>
      <c r="K74">
        <f t="shared" si="23"/>
        <v>9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5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8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10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7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23</v>
      </c>
      <c r="K80">
        <f>SUM(K68:K79)</f>
        <v>23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BN94"/>
  <sheetViews>
    <sheetView topLeftCell="U1" workbookViewId="0">
      <selection activeCell="W9" sqref="W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C4">
        <v>1</v>
      </c>
      <c r="G4" t="s">
        <v>188</v>
      </c>
      <c r="H4">
        <v>1</v>
      </c>
      <c r="I4">
        <v>1</v>
      </c>
      <c r="J4">
        <v>1</v>
      </c>
      <c r="K4">
        <v>7</v>
      </c>
      <c r="N4">
        <v>5</v>
      </c>
      <c r="O4">
        <v>3</v>
      </c>
      <c r="P4">
        <v>3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16</v>
      </c>
      <c r="K5">
        <v>6</v>
      </c>
      <c r="O5">
        <v>4</v>
      </c>
      <c r="P5">
        <v>3</v>
      </c>
      <c r="Q5">
        <v>2</v>
      </c>
      <c r="R5">
        <v>2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30</v>
      </c>
      <c r="G6" t="s">
        <v>188</v>
      </c>
      <c r="H6">
        <v>1</v>
      </c>
      <c r="I6">
        <v>1</v>
      </c>
      <c r="J6">
        <v>1</v>
      </c>
      <c r="K6">
        <v>6</v>
      </c>
      <c r="O6">
        <v>5</v>
      </c>
      <c r="P6">
        <v>4</v>
      </c>
      <c r="S6">
        <v>1</v>
      </c>
      <c r="T6">
        <v>1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38</v>
      </c>
      <c r="C7">
        <v>1</v>
      </c>
      <c r="K7">
        <v>8</v>
      </c>
      <c r="L7">
        <v>8</v>
      </c>
      <c r="M7">
        <v>6</v>
      </c>
      <c r="O7">
        <v>1</v>
      </c>
      <c r="P7">
        <v>1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43</v>
      </c>
      <c r="D8" t="s">
        <v>185</v>
      </c>
      <c r="E8">
        <v>1</v>
      </c>
      <c r="F8">
        <v>1</v>
      </c>
      <c r="K8">
        <v>6</v>
      </c>
      <c r="N8">
        <v>2</v>
      </c>
      <c r="O8">
        <v>4</v>
      </c>
      <c r="P8">
        <v>4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53</v>
      </c>
      <c r="J9">
        <v>1</v>
      </c>
      <c r="K9">
        <v>6</v>
      </c>
      <c r="L9">
        <v>3</v>
      </c>
      <c r="M9">
        <v>3</v>
      </c>
      <c r="O9">
        <v>1</v>
      </c>
      <c r="P9">
        <v>1</v>
      </c>
      <c r="Q9">
        <v>2</v>
      </c>
      <c r="R9">
        <v>2</v>
      </c>
      <c r="S9">
        <v>1</v>
      </c>
      <c r="T9">
        <v>1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65</v>
      </c>
      <c r="C10">
        <v>1</v>
      </c>
      <c r="G10" t="s">
        <v>188</v>
      </c>
      <c r="H10">
        <v>1</v>
      </c>
      <c r="I10">
        <v>1</v>
      </c>
      <c r="K10">
        <v>8</v>
      </c>
      <c r="L10">
        <v>3</v>
      </c>
      <c r="M10">
        <v>3</v>
      </c>
      <c r="O10">
        <v>3</v>
      </c>
      <c r="P10">
        <v>3</v>
      </c>
      <c r="Q10">
        <v>2</v>
      </c>
      <c r="R10">
        <v>2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72</v>
      </c>
      <c r="G11" t="s">
        <v>188</v>
      </c>
      <c r="H11">
        <v>1</v>
      </c>
      <c r="I11">
        <v>1</v>
      </c>
      <c r="J11">
        <v>1</v>
      </c>
      <c r="K11">
        <v>9</v>
      </c>
      <c r="L11">
        <v>9</v>
      </c>
      <c r="M11">
        <v>9</v>
      </c>
      <c r="Q11">
        <v>2</v>
      </c>
      <c r="R11">
        <v>2</v>
      </c>
      <c r="X11">
        <v>1</v>
      </c>
    </row>
    <row r="12" spans="1:66" x14ac:dyDescent="0.2">
      <c r="A12">
        <v>9</v>
      </c>
      <c r="B12">
        <v>81</v>
      </c>
      <c r="G12" t="s">
        <v>188</v>
      </c>
      <c r="H12">
        <v>1</v>
      </c>
      <c r="I12">
        <v>1</v>
      </c>
      <c r="K12">
        <v>11</v>
      </c>
      <c r="L12">
        <v>6</v>
      </c>
      <c r="M12">
        <v>6</v>
      </c>
      <c r="Q12">
        <v>5</v>
      </c>
      <c r="R12">
        <v>5</v>
      </c>
      <c r="X12">
        <v>1</v>
      </c>
    </row>
    <row r="13" spans="1:66" x14ac:dyDescent="0.2">
      <c r="A13">
        <v>10</v>
      </c>
      <c r="B13">
        <v>92</v>
      </c>
      <c r="G13" t="s">
        <v>188</v>
      </c>
      <c r="H13">
        <v>1</v>
      </c>
      <c r="J13">
        <v>1</v>
      </c>
      <c r="K13">
        <v>6</v>
      </c>
      <c r="N13">
        <v>3</v>
      </c>
      <c r="O13">
        <v>2</v>
      </c>
      <c r="P13">
        <v>2</v>
      </c>
      <c r="Q13">
        <v>2</v>
      </c>
      <c r="R13">
        <v>2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110</v>
      </c>
      <c r="C14">
        <v>1</v>
      </c>
      <c r="D14" t="s">
        <v>188</v>
      </c>
      <c r="E14">
        <v>1</v>
      </c>
      <c r="K14">
        <v>4</v>
      </c>
      <c r="O14">
        <v>4</v>
      </c>
      <c r="P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120</v>
      </c>
      <c r="G15" t="s">
        <v>185</v>
      </c>
      <c r="H15">
        <v>1</v>
      </c>
      <c r="I15">
        <v>1</v>
      </c>
      <c r="K15">
        <v>4</v>
      </c>
      <c r="O15">
        <v>4</v>
      </c>
      <c r="P15">
        <v>4</v>
      </c>
    </row>
    <row r="16" spans="1:66" x14ac:dyDescent="0.2">
      <c r="A16" t="s">
        <v>8</v>
      </c>
      <c r="C16">
        <f>SUM(C4:C15)</f>
        <v>4</v>
      </c>
      <c r="E16">
        <f>SUM(E4:E15)</f>
        <v>2</v>
      </c>
      <c r="F16">
        <f>SUM(F4:F15)</f>
        <v>1</v>
      </c>
      <c r="H16">
        <f t="shared" ref="H16:P16" si="0">SUM(H4:H15)</f>
        <v>7</v>
      </c>
      <c r="I16">
        <f t="shared" si="0"/>
        <v>6</v>
      </c>
      <c r="J16">
        <f t="shared" si="0"/>
        <v>5</v>
      </c>
      <c r="K16">
        <f t="shared" si="0"/>
        <v>81</v>
      </c>
      <c r="L16">
        <f t="shared" si="0"/>
        <v>29</v>
      </c>
      <c r="M16">
        <f t="shared" si="0"/>
        <v>27</v>
      </c>
      <c r="N16">
        <f t="shared" si="0"/>
        <v>10</v>
      </c>
      <c r="O16">
        <f t="shared" si="0"/>
        <v>31</v>
      </c>
      <c r="P16">
        <f t="shared" si="0"/>
        <v>29</v>
      </c>
      <c r="Q16">
        <f>SUM(Q4:Q15)</f>
        <v>15</v>
      </c>
      <c r="R16">
        <f>SUM(R4:R15)</f>
        <v>15</v>
      </c>
      <c r="S16">
        <f>SUM(S4:S15)</f>
        <v>3</v>
      </c>
      <c r="T16">
        <v>0</v>
      </c>
      <c r="U16">
        <f>SUM(U4:U15)</f>
        <v>8</v>
      </c>
      <c r="V16">
        <f>SUM(V4:V15)</f>
        <v>5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</v>
      </c>
      <c r="F20">
        <f>COUNT(I4:I15)/COUNT(H4:H15)</f>
        <v>0.8571428571428571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0.93548387096774188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0.41666666666666669</v>
      </c>
      <c r="O22">
        <f>MEDIAN(I54:I65)</f>
        <v>0</v>
      </c>
      <c r="P22">
        <f>MAX(I54:I65)</f>
        <v>1</v>
      </c>
      <c r="Q22">
        <f>_xlfn.STDEV.S(I54:I65)</f>
        <v>0.51492865054443726</v>
      </c>
      <c r="S22">
        <f>V16/U16</f>
        <v>0.625</v>
      </c>
      <c r="U22">
        <f>AA66/Y66</f>
        <v>0.625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0.83333333333333337</v>
      </c>
      <c r="I24">
        <f>AVERAGE(A54:A65)</f>
        <v>2.4166666666666665</v>
      </c>
      <c r="J24">
        <f>MAX(A54:A65)</f>
        <v>4</v>
      </c>
      <c r="K24">
        <f>_xlfn.STDEV.S(A54:A65)</f>
        <v>1.5642792899510296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0.41666666666666669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6.75</v>
      </c>
      <c r="O25">
        <f>MEDIAN(K54:K65)</f>
        <v>6</v>
      </c>
      <c r="P25">
        <f>MAX(K54:K65)</f>
        <v>11</v>
      </c>
      <c r="Q25">
        <f>_xlfn.STDEV.S(K54:K65)</f>
        <v>2.0056737702645644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5.8139534883720929E-2</v>
      </c>
    </row>
    <row r="29" spans="1:66" x14ac:dyDescent="0.2">
      <c r="D29">
        <f>_xlfn.STDEV.S(A68:A79)</f>
        <v>0.37796447300922714</v>
      </c>
      <c r="I29">
        <f>AVERAGE(C54:C65)</f>
        <v>1.25</v>
      </c>
      <c r="J29">
        <f>MAX(C54:C65)</f>
        <v>5</v>
      </c>
      <c r="K29">
        <f>_xlfn.STDEV.S(C54:C65)</f>
        <v>1.5447859516333116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0.94186046511627908</v>
      </c>
      <c r="S30">
        <f>_xlfn.STDEV.S(C68:C79)</f>
        <v>0.51492865054443726</v>
      </c>
    </row>
    <row r="31" spans="1:66" x14ac:dyDescent="0.2">
      <c r="D31" t="s">
        <v>179</v>
      </c>
      <c r="F31" t="s">
        <v>180</v>
      </c>
      <c r="I31">
        <f>M16/L16</f>
        <v>0.93103448275862066</v>
      </c>
      <c r="L31">
        <f>K80/I80</f>
        <v>0.81818181818181823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2.25</v>
      </c>
      <c r="J34">
        <f>MAX(E54:E65)</f>
        <v>9</v>
      </c>
      <c r="K34">
        <f>_xlfn.STDEV.S(E54:E65)</f>
        <v>3.1658691180665182</v>
      </c>
      <c r="L34">
        <f>AVERAGE(K68:K79)</f>
        <v>2.25</v>
      </c>
      <c r="M34">
        <f>MAX(K68:K79)</f>
        <v>6</v>
      </c>
      <c r="N34">
        <f>_xlfn.STDEV.S(K68:K79)</f>
        <v>2.8722813232690143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0.83333333333333337</v>
      </c>
      <c r="J37">
        <f>MAX(G54:G65)</f>
        <v>5</v>
      </c>
      <c r="K37">
        <f>_xlfn.STDEV.S(G54:G65)</f>
        <v>1.6422453217986943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5</v>
      </c>
      <c r="I54">
        <f t="shared" ref="I54:I65" si="5">IF(ISBLANK(B4),"",J4)</f>
        <v>1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2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6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6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0</v>
      </c>
      <c r="E57">
        <f t="shared" si="3"/>
        <v>6</v>
      </c>
      <c r="G57">
        <f t="shared" si="4"/>
        <v>0</v>
      </c>
      <c r="I57">
        <f t="shared" si="5"/>
        <v>0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2</v>
      </c>
      <c r="I58">
        <f t="shared" si="5"/>
        <v>0</v>
      </c>
      <c r="K58">
        <f t="shared" si="6"/>
        <v>6</v>
      </c>
      <c r="N58">
        <f t="shared" si="7"/>
        <v>1</v>
      </c>
      <c r="O58">
        <f t="shared" si="8"/>
        <v>1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2</v>
      </c>
      <c r="E59">
        <f t="shared" si="3"/>
        <v>3</v>
      </c>
      <c r="G59">
        <f t="shared" si="4"/>
        <v>0</v>
      </c>
      <c r="I59">
        <f t="shared" si="5"/>
        <v>1</v>
      </c>
      <c r="K59">
        <f t="shared" si="6"/>
        <v>6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2</v>
      </c>
      <c r="E60">
        <f t="shared" si="3"/>
        <v>3</v>
      </c>
      <c r="G60">
        <f t="shared" si="4"/>
        <v>0</v>
      </c>
      <c r="I60">
        <f t="shared" si="5"/>
        <v>0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9</v>
      </c>
      <c r="G61">
        <f t="shared" si="4"/>
        <v>0</v>
      </c>
      <c r="I61">
        <f t="shared" si="5"/>
        <v>1</v>
      </c>
      <c r="K61">
        <f t="shared" si="6"/>
        <v>9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5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11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2</v>
      </c>
      <c r="E63">
        <f t="shared" si="3"/>
        <v>0</v>
      </c>
      <c r="G63">
        <f t="shared" si="4"/>
        <v>3</v>
      </c>
      <c r="I63">
        <f t="shared" si="5"/>
        <v>1</v>
      </c>
      <c r="K63">
        <f t="shared" si="6"/>
        <v>6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0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4</v>
      </c>
      <c r="N64" t="str">
        <f t="shared" si="7"/>
        <v/>
      </c>
      <c r="O64" t="str">
        <f t="shared" si="8"/>
        <v/>
      </c>
      <c r="P64">
        <f t="shared" si="9"/>
        <v>1</v>
      </c>
      <c r="Q64">
        <f t="shared" si="10"/>
        <v>0</v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1</v>
      </c>
      <c r="P66">
        <f>SUM(P54:P65)</f>
        <v>1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6</v>
      </c>
      <c r="V66">
        <f>SUM(V54:V65)</f>
        <v>5</v>
      </c>
      <c r="Y66">
        <f>SUM(Y54:Y65)</f>
        <v>8</v>
      </c>
      <c r="AA66">
        <f>SUM(AA54:AA65)</f>
        <v>5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6.5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5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5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7</v>
      </c>
      <c r="I71">
        <f t="shared" si="22"/>
        <v>8</v>
      </c>
      <c r="K71">
        <f t="shared" si="23"/>
        <v>6</v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5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9</v>
      </c>
      <c r="I74">
        <f t="shared" si="22"/>
        <v>3</v>
      </c>
      <c r="K74">
        <f t="shared" si="23"/>
        <v>3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12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12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0</v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4</v>
      </c>
      <c r="I78">
        <f t="shared" si="22"/>
        <v>0</v>
      </c>
      <c r="K78">
        <f t="shared" si="23"/>
        <v>0</v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5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11</v>
      </c>
      <c r="K80">
        <f>SUM(K68:K79)</f>
        <v>9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6</v>
      </c>
      <c r="C4">
        <v>1</v>
      </c>
      <c r="G4" t="s">
        <v>188</v>
      </c>
      <c r="H4">
        <v>1</v>
      </c>
      <c r="K4">
        <v>1</v>
      </c>
      <c r="L4">
        <v>1</v>
      </c>
      <c r="M4">
        <v>1</v>
      </c>
    </row>
    <row r="5" spans="1:66" x14ac:dyDescent="0.2">
      <c r="A5">
        <v>2</v>
      </c>
      <c r="B5">
        <v>11</v>
      </c>
      <c r="C5">
        <v>1</v>
      </c>
      <c r="J5">
        <v>1</v>
      </c>
      <c r="K5">
        <v>5</v>
      </c>
      <c r="O5">
        <v>5</v>
      </c>
      <c r="P5">
        <v>5</v>
      </c>
      <c r="X5">
        <v>1</v>
      </c>
    </row>
    <row r="6" spans="1:66" x14ac:dyDescent="0.2">
      <c r="A6">
        <v>3</v>
      </c>
      <c r="B6">
        <v>26</v>
      </c>
      <c r="C6">
        <v>1</v>
      </c>
      <c r="K6">
        <v>7</v>
      </c>
      <c r="L6">
        <v>7</v>
      </c>
      <c r="M6">
        <v>7</v>
      </c>
      <c r="O6">
        <v>1</v>
      </c>
      <c r="P6">
        <v>1</v>
      </c>
      <c r="X6">
        <v>1</v>
      </c>
    </row>
    <row r="7" spans="1:66" x14ac:dyDescent="0.2">
      <c r="A7">
        <v>4</v>
      </c>
      <c r="B7">
        <v>38</v>
      </c>
      <c r="K7">
        <v>6</v>
      </c>
      <c r="L7">
        <v>7</v>
      </c>
      <c r="M7">
        <v>7</v>
      </c>
      <c r="X7">
        <v>1</v>
      </c>
    </row>
    <row r="8" spans="1:66" x14ac:dyDescent="0.2">
      <c r="A8">
        <v>5</v>
      </c>
      <c r="B8">
        <v>47</v>
      </c>
      <c r="G8" t="s">
        <v>188</v>
      </c>
      <c r="H8">
        <v>1</v>
      </c>
      <c r="I8">
        <v>1</v>
      </c>
      <c r="K8">
        <v>6</v>
      </c>
      <c r="L8">
        <v>2</v>
      </c>
      <c r="M8">
        <v>2</v>
      </c>
      <c r="O8">
        <v>4</v>
      </c>
      <c r="P8">
        <v>4</v>
      </c>
      <c r="X8">
        <v>1</v>
      </c>
    </row>
    <row r="9" spans="1:66" x14ac:dyDescent="0.2">
      <c r="A9">
        <v>6</v>
      </c>
      <c r="B9">
        <v>54</v>
      </c>
      <c r="G9" t="s">
        <v>188</v>
      </c>
      <c r="H9">
        <v>1</v>
      </c>
      <c r="J9">
        <v>2</v>
      </c>
      <c r="K9">
        <v>3</v>
      </c>
      <c r="N9">
        <v>2</v>
      </c>
      <c r="O9">
        <v>2</v>
      </c>
      <c r="P9">
        <v>1</v>
      </c>
      <c r="Q9">
        <v>1</v>
      </c>
      <c r="R9">
        <v>1</v>
      </c>
    </row>
    <row r="10" spans="1:66" x14ac:dyDescent="0.2">
      <c r="A10">
        <v>7</v>
      </c>
      <c r="B10">
        <v>67</v>
      </c>
      <c r="C10">
        <v>1</v>
      </c>
      <c r="K10">
        <v>8</v>
      </c>
      <c r="L10">
        <v>4</v>
      </c>
      <c r="M10">
        <v>4</v>
      </c>
      <c r="Q10">
        <v>4</v>
      </c>
      <c r="R10">
        <v>3</v>
      </c>
    </row>
    <row r="11" spans="1:66" x14ac:dyDescent="0.2">
      <c r="A11">
        <v>8</v>
      </c>
      <c r="B11">
        <v>80</v>
      </c>
      <c r="K11">
        <v>3</v>
      </c>
      <c r="O11">
        <v>3</v>
      </c>
      <c r="P11">
        <v>2</v>
      </c>
      <c r="Q11">
        <v>1</v>
      </c>
      <c r="R11">
        <v>1</v>
      </c>
      <c r="X11">
        <v>1</v>
      </c>
    </row>
    <row r="12" spans="1:66" x14ac:dyDescent="0.2">
      <c r="A12">
        <v>9</v>
      </c>
      <c r="B12">
        <v>87</v>
      </c>
      <c r="K12">
        <v>3</v>
      </c>
      <c r="L12">
        <v>1</v>
      </c>
      <c r="M12">
        <v>1</v>
      </c>
      <c r="Q12">
        <v>2</v>
      </c>
      <c r="R12">
        <v>2</v>
      </c>
    </row>
    <row r="13" spans="1:66" x14ac:dyDescent="0.2">
      <c r="A13">
        <v>10</v>
      </c>
      <c r="B13">
        <v>99</v>
      </c>
      <c r="G13" t="s">
        <v>188</v>
      </c>
      <c r="H13">
        <v>1</v>
      </c>
      <c r="I13">
        <v>1</v>
      </c>
      <c r="K13">
        <v>6</v>
      </c>
      <c r="L13">
        <v>3</v>
      </c>
      <c r="M13">
        <v>3</v>
      </c>
      <c r="O13">
        <v>3</v>
      </c>
      <c r="P13">
        <v>2</v>
      </c>
      <c r="X13">
        <v>1</v>
      </c>
    </row>
    <row r="14" spans="1:66" x14ac:dyDescent="0.2">
      <c r="A14">
        <v>11</v>
      </c>
      <c r="B14">
        <v>105</v>
      </c>
      <c r="G14" t="s">
        <v>188</v>
      </c>
      <c r="H14">
        <v>1</v>
      </c>
      <c r="I14">
        <v>1</v>
      </c>
      <c r="K14">
        <v>7</v>
      </c>
      <c r="L14">
        <v>3</v>
      </c>
      <c r="M14">
        <v>3</v>
      </c>
      <c r="O14">
        <v>3</v>
      </c>
      <c r="P14">
        <v>3</v>
      </c>
      <c r="Q14">
        <v>1</v>
      </c>
      <c r="R14">
        <v>1</v>
      </c>
      <c r="X14">
        <v>1</v>
      </c>
    </row>
    <row r="15" spans="1:66" x14ac:dyDescent="0.2">
      <c r="A15">
        <v>12</v>
      </c>
      <c r="B15">
        <v>113</v>
      </c>
      <c r="K15">
        <v>3</v>
      </c>
      <c r="O15">
        <v>4</v>
      </c>
      <c r="P15">
        <v>4</v>
      </c>
      <c r="U15">
        <v>1</v>
      </c>
      <c r="V15">
        <v>1</v>
      </c>
      <c r="W15" t="s">
        <v>189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5</v>
      </c>
      <c r="I16">
        <f t="shared" si="0"/>
        <v>3</v>
      </c>
      <c r="J16">
        <f t="shared" si="0"/>
        <v>3</v>
      </c>
      <c r="K16">
        <f t="shared" si="0"/>
        <v>58</v>
      </c>
      <c r="L16">
        <f t="shared" si="0"/>
        <v>28</v>
      </c>
      <c r="M16">
        <f t="shared" si="0"/>
        <v>28</v>
      </c>
      <c r="N16">
        <f t="shared" si="0"/>
        <v>2</v>
      </c>
      <c r="O16">
        <f t="shared" si="0"/>
        <v>25</v>
      </c>
      <c r="P16">
        <f t="shared" si="0"/>
        <v>22</v>
      </c>
      <c r="Q16">
        <f>SUM(Q4:Q15)</f>
        <v>9</v>
      </c>
      <c r="R16">
        <f>SUM(R4:R15)</f>
        <v>8</v>
      </c>
      <c r="S16">
        <f>SUM(S4:S15)</f>
        <v>0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0.6</v>
      </c>
      <c r="I20" t="s">
        <v>41</v>
      </c>
      <c r="N20" t="s">
        <v>29</v>
      </c>
      <c r="S20" t="e">
        <f>T16/S16</f>
        <v>#DIV/0!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0.88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 t="e">
        <f>T66/S66</f>
        <v>#DIV/0!</v>
      </c>
      <c r="I22" t="s">
        <v>23</v>
      </c>
      <c r="N22">
        <f>AVERAGE(I54:I65)</f>
        <v>0.25</v>
      </c>
      <c r="O22">
        <f>MEDIAN(I54:I65)</f>
        <v>0</v>
      </c>
      <c r="P22">
        <f>MAX(I54:I65)</f>
        <v>2</v>
      </c>
      <c r="Q22">
        <f>_xlfn.STDEV.S(I54:I65)</f>
        <v>0.62158156050806102</v>
      </c>
      <c r="S22">
        <f>V16/U16</f>
        <v>1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0.6</v>
      </c>
      <c r="I24">
        <f>AVERAGE(A54:A65)</f>
        <v>1.8333333333333333</v>
      </c>
      <c r="J24">
        <f>MAX(A54:A65)</f>
        <v>5</v>
      </c>
      <c r="K24">
        <f>_xlfn.STDEV.S(A54:A65)</f>
        <v>1.80067327475704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4.833333333333333</v>
      </c>
      <c r="O25">
        <f>MEDIAN(K54:K65)</f>
        <v>5.5</v>
      </c>
      <c r="P25">
        <f>MAX(K54:K65)</f>
        <v>8</v>
      </c>
      <c r="Q25">
        <f>_xlfn.STDEV.S(K54:K65)</f>
        <v>2.167249338901664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0.25</v>
      </c>
      <c r="I26">
        <f>R16/Q16</f>
        <v>0.88888888888888884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4.9180327868852458E-2</v>
      </c>
    </row>
    <row r="29" spans="1:66" x14ac:dyDescent="0.2">
      <c r="D29">
        <f>_xlfn.STDEV.S(A68:A79)</f>
        <v>0.54772255750516607</v>
      </c>
      <c r="I29">
        <f>AVERAGE(C54:C65)</f>
        <v>0.66666666666666663</v>
      </c>
      <c r="J29">
        <f>MAX(C54:C65)</f>
        <v>3</v>
      </c>
      <c r="K29">
        <f>_xlfn.STDEV.S(C54:C65)</f>
        <v>0.9847319278346619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0.95081967213114749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2.3333333333333335</v>
      </c>
      <c r="J34">
        <f>MAX(E54:E65)</f>
        <v>7</v>
      </c>
      <c r="K34">
        <f>_xlfn.STDEV.S(E54:E65)</f>
        <v>2.5702257889260638</v>
      </c>
      <c r="L34">
        <f>AVERAGE(K68:K79)</f>
        <v>3</v>
      </c>
      <c r="M34">
        <f>MAX(K68:K79)</f>
        <v>7</v>
      </c>
      <c r="N34">
        <f>_xlfn.STDEV.S(K68:K79)</f>
        <v>3.1622776601683795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0.16666666666666666</v>
      </c>
      <c r="J37">
        <f>MAX(G54:G65)</f>
        <v>2</v>
      </c>
      <c r="K37">
        <f>_xlfn.STDEV.S(G54:G65)</f>
        <v>0.57735026918962573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1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0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5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1</v>
      </c>
      <c r="K55">
        <f t="shared" si="6"/>
        <v>5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1</v>
      </c>
      <c r="C56">
        <f t="shared" si="2"/>
        <v>0</v>
      </c>
      <c r="E56">
        <f t="shared" si="3"/>
        <v>7</v>
      </c>
      <c r="G56">
        <f t="shared" si="4"/>
        <v>0</v>
      </c>
      <c r="I56">
        <f t="shared" si="5"/>
        <v>0</v>
      </c>
      <c r="K56">
        <f t="shared" si="6"/>
        <v>7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7</v>
      </c>
      <c r="G57">
        <f t="shared" si="4"/>
        <v>0</v>
      </c>
      <c r="I57">
        <f t="shared" si="5"/>
        <v>0</v>
      </c>
      <c r="K57">
        <f t="shared" si="6"/>
        <v>6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2</v>
      </c>
      <c r="G58">
        <f t="shared" si="4"/>
        <v>0</v>
      </c>
      <c r="I58">
        <f t="shared" si="5"/>
        <v>0</v>
      </c>
      <c r="K58">
        <f t="shared" si="6"/>
        <v>6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1</v>
      </c>
      <c r="E59">
        <f t="shared" si="3"/>
        <v>0</v>
      </c>
      <c r="G59">
        <f t="shared" si="4"/>
        <v>2</v>
      </c>
      <c r="I59">
        <f t="shared" si="5"/>
        <v>2</v>
      </c>
      <c r="K59">
        <f t="shared" si="6"/>
        <v>3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0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3</v>
      </c>
      <c r="E60">
        <f t="shared" si="3"/>
        <v>4</v>
      </c>
      <c r="G60">
        <f t="shared" si="4"/>
        <v>0</v>
      </c>
      <c r="I60">
        <f t="shared" si="5"/>
        <v>0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2</v>
      </c>
      <c r="C61">
        <f t="shared" si="2"/>
        <v>1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3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1</v>
      </c>
      <c r="G62">
        <f t="shared" si="4"/>
        <v>0</v>
      </c>
      <c r="I62">
        <f t="shared" si="5"/>
        <v>0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0</v>
      </c>
      <c r="E63">
        <f t="shared" si="3"/>
        <v>3</v>
      </c>
      <c r="G63">
        <f t="shared" si="4"/>
        <v>0</v>
      </c>
      <c r="I63">
        <f t="shared" si="5"/>
        <v>0</v>
      </c>
      <c r="K63">
        <f t="shared" si="6"/>
        <v>6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3</v>
      </c>
      <c r="C64">
        <f t="shared" si="2"/>
        <v>1</v>
      </c>
      <c r="E64">
        <f t="shared" si="3"/>
        <v>3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3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>
        <f t="shared" si="17"/>
        <v>1</v>
      </c>
      <c r="AE65">
        <f t="shared" si="18"/>
        <v>1</v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5</v>
      </c>
      <c r="V66">
        <f>SUM(V54:V65)</f>
        <v>3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1</v>
      </c>
      <c r="G68">
        <f>AVERAGE(E68:E79)</f>
        <v>5.083333333333333</v>
      </c>
      <c r="I68">
        <f>IF(ISBLANK(B4)+ISBLANK(C4), "", L4)</f>
        <v>1</v>
      </c>
      <c r="K68">
        <f>IF(ISBLANK(B4)+ISBLANK(C4), "", M4)</f>
        <v>1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5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8</v>
      </c>
      <c r="I70">
        <f t="shared" si="22"/>
        <v>7</v>
      </c>
      <c r="K70">
        <f t="shared" si="23"/>
        <v>7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7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7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0</v>
      </c>
      <c r="C73">
        <f t="shared" si="20"/>
        <v>0</v>
      </c>
      <c r="E73">
        <f t="shared" si="21"/>
        <v>2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7</v>
      </c>
      <c r="I74">
        <f t="shared" si="22"/>
        <v>4</v>
      </c>
      <c r="K74">
        <f t="shared" si="23"/>
        <v>4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3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8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4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12</v>
      </c>
      <c r="K80">
        <f>SUM(K68:K79)</f>
        <v>12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D4" t="s">
        <v>188</v>
      </c>
      <c r="E4">
        <v>1</v>
      </c>
      <c r="K4">
        <v>5</v>
      </c>
      <c r="O4">
        <v>5</v>
      </c>
      <c r="P4">
        <v>5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13</v>
      </c>
      <c r="J5">
        <v>3</v>
      </c>
      <c r="K5">
        <v>3</v>
      </c>
      <c r="N5">
        <v>2</v>
      </c>
      <c r="O5">
        <v>2</v>
      </c>
      <c r="P5">
        <v>1</v>
      </c>
      <c r="X5">
        <v>1</v>
      </c>
    </row>
    <row r="6" spans="1:66" x14ac:dyDescent="0.2">
      <c r="A6">
        <v>3</v>
      </c>
      <c r="B6">
        <v>25</v>
      </c>
      <c r="G6" t="s">
        <v>188</v>
      </c>
      <c r="H6">
        <v>1</v>
      </c>
      <c r="I6">
        <v>1</v>
      </c>
      <c r="J6">
        <v>3</v>
      </c>
      <c r="K6">
        <v>3</v>
      </c>
      <c r="L6">
        <v>1</v>
      </c>
      <c r="M6">
        <v>1</v>
      </c>
      <c r="O6">
        <v>5</v>
      </c>
      <c r="P6">
        <v>5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32</v>
      </c>
      <c r="G7" t="s">
        <v>188</v>
      </c>
      <c r="H7">
        <v>1</v>
      </c>
      <c r="I7">
        <v>1</v>
      </c>
      <c r="K7">
        <v>6</v>
      </c>
      <c r="L7">
        <v>1</v>
      </c>
      <c r="M7">
        <v>1</v>
      </c>
      <c r="N7">
        <v>2</v>
      </c>
      <c r="O7">
        <v>1</v>
      </c>
      <c r="P7">
        <v>1</v>
      </c>
      <c r="Q7">
        <v>3</v>
      </c>
      <c r="R7">
        <v>3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44</v>
      </c>
      <c r="C8">
        <v>1</v>
      </c>
      <c r="G8" t="s">
        <v>188</v>
      </c>
      <c r="H8">
        <v>1</v>
      </c>
      <c r="I8">
        <v>1</v>
      </c>
      <c r="J8">
        <v>3</v>
      </c>
      <c r="K8">
        <v>4</v>
      </c>
      <c r="N8">
        <v>4</v>
      </c>
      <c r="O8">
        <v>2</v>
      </c>
      <c r="P8">
        <v>2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53</v>
      </c>
      <c r="G9" t="s">
        <v>188</v>
      </c>
      <c r="H9">
        <v>1</v>
      </c>
      <c r="I9">
        <v>1</v>
      </c>
      <c r="K9">
        <v>5</v>
      </c>
      <c r="L9">
        <v>2</v>
      </c>
      <c r="M9">
        <v>2</v>
      </c>
      <c r="O9">
        <v>1</v>
      </c>
      <c r="P9">
        <v>1</v>
      </c>
      <c r="Q9">
        <v>2</v>
      </c>
      <c r="R9">
        <v>2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66</v>
      </c>
      <c r="C10">
        <v>1</v>
      </c>
      <c r="G10" t="s">
        <v>188</v>
      </c>
      <c r="H10">
        <v>1</v>
      </c>
      <c r="I10">
        <v>1</v>
      </c>
      <c r="J10">
        <v>3</v>
      </c>
      <c r="K10">
        <v>4</v>
      </c>
      <c r="N10">
        <v>4</v>
      </c>
      <c r="O10">
        <v>1</v>
      </c>
      <c r="P10">
        <v>1</v>
      </c>
      <c r="Q10">
        <v>1</v>
      </c>
      <c r="R10">
        <v>1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72</v>
      </c>
      <c r="D11" t="s">
        <v>185</v>
      </c>
      <c r="E11">
        <v>1</v>
      </c>
      <c r="J11">
        <v>2</v>
      </c>
      <c r="K11">
        <v>4</v>
      </c>
      <c r="N11">
        <v>3</v>
      </c>
      <c r="O11">
        <v>3</v>
      </c>
      <c r="P11">
        <v>3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90</v>
      </c>
      <c r="D12" t="s">
        <v>188</v>
      </c>
      <c r="E12">
        <v>1</v>
      </c>
      <c r="J12">
        <v>4</v>
      </c>
      <c r="K12">
        <v>2</v>
      </c>
      <c r="O12">
        <v>5</v>
      </c>
      <c r="P12">
        <v>5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98</v>
      </c>
      <c r="D13" t="s">
        <v>185</v>
      </c>
      <c r="E13">
        <v>1</v>
      </c>
      <c r="F13">
        <v>1</v>
      </c>
      <c r="J13">
        <v>2</v>
      </c>
      <c r="K13">
        <v>3</v>
      </c>
      <c r="N13">
        <v>1</v>
      </c>
      <c r="O13">
        <v>2</v>
      </c>
      <c r="P13">
        <v>2</v>
      </c>
      <c r="Q13">
        <v>1</v>
      </c>
      <c r="R13">
        <v>1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103</v>
      </c>
      <c r="C14">
        <v>1</v>
      </c>
      <c r="D14" t="s">
        <v>188</v>
      </c>
      <c r="E14">
        <v>1</v>
      </c>
      <c r="K14">
        <v>6</v>
      </c>
      <c r="O14">
        <v>6</v>
      </c>
      <c r="P14">
        <v>4</v>
      </c>
      <c r="Q14">
        <v>1</v>
      </c>
      <c r="R14">
        <v>1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113</v>
      </c>
      <c r="G15" t="s">
        <v>185</v>
      </c>
      <c r="H15">
        <v>1</v>
      </c>
      <c r="I15">
        <v>1</v>
      </c>
      <c r="J15">
        <v>2</v>
      </c>
      <c r="K15">
        <v>4</v>
      </c>
      <c r="O15">
        <v>5</v>
      </c>
      <c r="P15">
        <v>4</v>
      </c>
      <c r="U15">
        <v>1</v>
      </c>
      <c r="V15">
        <v>1</v>
      </c>
      <c r="W15" t="s">
        <v>186</v>
      </c>
      <c r="X15">
        <v>1</v>
      </c>
    </row>
    <row r="16" spans="1:66" x14ac:dyDescent="0.2">
      <c r="A16" t="s">
        <v>8</v>
      </c>
      <c r="C16">
        <f>SUM(C4:C15)</f>
        <v>3</v>
      </c>
      <c r="E16">
        <f>SUM(E4:E15)</f>
        <v>5</v>
      </c>
      <c r="F16">
        <f>SUM(F4:F15)</f>
        <v>1</v>
      </c>
      <c r="H16">
        <f t="shared" ref="H16:P16" si="0">SUM(H4:H15)</f>
        <v>6</v>
      </c>
      <c r="I16">
        <f t="shared" si="0"/>
        <v>6</v>
      </c>
      <c r="J16">
        <f t="shared" si="0"/>
        <v>22</v>
      </c>
      <c r="K16">
        <f t="shared" si="0"/>
        <v>49</v>
      </c>
      <c r="L16">
        <f t="shared" si="0"/>
        <v>4</v>
      </c>
      <c r="M16">
        <f t="shared" si="0"/>
        <v>4</v>
      </c>
      <c r="N16">
        <f t="shared" si="0"/>
        <v>16</v>
      </c>
      <c r="O16">
        <f t="shared" si="0"/>
        <v>38</v>
      </c>
      <c r="P16">
        <f t="shared" si="0"/>
        <v>34</v>
      </c>
      <c r="Q16">
        <f>SUM(Q4:Q15)</f>
        <v>8</v>
      </c>
      <c r="R16">
        <f>SUM(R4:R15)</f>
        <v>8</v>
      </c>
      <c r="S16">
        <f>SUM(S4:S15)</f>
        <v>1</v>
      </c>
      <c r="T16">
        <v>0</v>
      </c>
      <c r="U16">
        <f>SUM(U4:U15)</f>
        <v>10</v>
      </c>
      <c r="V16">
        <f>SUM(V4:V15)</f>
        <v>10</v>
      </c>
      <c r="W16">
        <f>SUM(W4:W15)</f>
        <v>0</v>
      </c>
      <c r="X16">
        <f>SUM(X4:X15)</f>
        <v>3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0.2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0.89473684210526316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0.5</v>
      </c>
      <c r="F22">
        <f>T66/S66</f>
        <v>1</v>
      </c>
      <c r="I22" t="s">
        <v>23</v>
      </c>
      <c r="N22">
        <f>AVERAGE(I54:I65)</f>
        <v>1.8333333333333333</v>
      </c>
      <c r="O22">
        <f>MEDIAN(I54:I65)</f>
        <v>2</v>
      </c>
      <c r="P22">
        <f>MAX(I54:I65)</f>
        <v>4</v>
      </c>
      <c r="Q22">
        <f>_xlfn.STDEV.S(I54:I65)</f>
        <v>1.4668044012461754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>
        <f>V66/U66</f>
        <v>1</v>
      </c>
      <c r="I24">
        <f>AVERAGE(A54:A65)</f>
        <v>2.8333333333333335</v>
      </c>
      <c r="J24">
        <f>MAX(A54:A65)</f>
        <v>5</v>
      </c>
      <c r="K24">
        <f>_xlfn.STDEV.S(A54:A65)</f>
        <v>1.6966991126265962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0.83333333333333337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4.083333333333333</v>
      </c>
      <c r="O25">
        <f>MEDIAN(K54:K65)</f>
        <v>4</v>
      </c>
      <c r="P25">
        <f>MAX(K54:K65)</f>
        <v>6</v>
      </c>
      <c r="Q25">
        <f>_xlfn.STDEV.S(K54:K65)</f>
        <v>1.2401124093721452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0.30985915492957744</v>
      </c>
    </row>
    <row r="29" spans="1:66" x14ac:dyDescent="0.2">
      <c r="D29">
        <f>_xlfn.STDEV.S(A68:A79)</f>
        <v>0</v>
      </c>
      <c r="I29">
        <f>AVERAGE(C54:C65)</f>
        <v>0.66666666666666663</v>
      </c>
      <c r="J29">
        <f>MAX(C54:C65)</f>
        <v>3</v>
      </c>
      <c r="K29">
        <f>_xlfn.STDEV.S(C54:C65)</f>
        <v>0.9847319278346619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0.6901408450704225</v>
      </c>
      <c r="S30">
        <f>_xlfn.STDEV.S(C68:C79)</f>
        <v>0.38924947208076144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0.33333333333333331</v>
      </c>
      <c r="J34">
        <f>MAX(E54:E65)</f>
        <v>2</v>
      </c>
      <c r="K34">
        <f>_xlfn.STDEV.S(E54:E65)</f>
        <v>0.6513389472789296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1.3333333333333333</v>
      </c>
      <c r="J37">
        <f>MAX(G54:G65)</f>
        <v>4</v>
      </c>
      <c r="K37">
        <f>_xlfn.STDEV.S(G54:G65)</f>
        <v>1.6143297699232972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0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0</v>
      </c>
      <c r="G55">
        <f t="shared" si="4"/>
        <v>2</v>
      </c>
      <c r="I55">
        <f t="shared" si="5"/>
        <v>3</v>
      </c>
      <c r="K55">
        <f t="shared" si="6"/>
        <v>3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5</v>
      </c>
      <c r="C56">
        <f t="shared" si="2"/>
        <v>0</v>
      </c>
      <c r="E56">
        <f t="shared" si="3"/>
        <v>1</v>
      </c>
      <c r="G56">
        <f t="shared" si="4"/>
        <v>0</v>
      </c>
      <c r="I56">
        <f t="shared" si="5"/>
        <v>3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3</v>
      </c>
      <c r="E57">
        <f t="shared" si="3"/>
        <v>1</v>
      </c>
      <c r="G57">
        <f t="shared" si="4"/>
        <v>2</v>
      </c>
      <c r="I57">
        <f t="shared" si="5"/>
        <v>0</v>
      </c>
      <c r="K57">
        <f t="shared" si="6"/>
        <v>6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2</v>
      </c>
      <c r="C58">
        <f t="shared" si="2"/>
        <v>0</v>
      </c>
      <c r="E58">
        <f t="shared" si="3"/>
        <v>0</v>
      </c>
      <c r="G58">
        <f t="shared" si="4"/>
        <v>4</v>
      </c>
      <c r="I58">
        <f t="shared" si="5"/>
        <v>3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2</v>
      </c>
      <c r="E59">
        <f t="shared" si="3"/>
        <v>2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1</v>
      </c>
      <c r="E60">
        <f t="shared" si="3"/>
        <v>0</v>
      </c>
      <c r="G60">
        <f t="shared" si="4"/>
        <v>4</v>
      </c>
      <c r="I60">
        <f t="shared" si="5"/>
        <v>3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3</v>
      </c>
      <c r="I61">
        <f t="shared" si="5"/>
        <v>2</v>
      </c>
      <c r="K61">
        <f t="shared" si="6"/>
        <v>4</v>
      </c>
      <c r="N61">
        <f t="shared" si="7"/>
        <v>1</v>
      </c>
      <c r="O61">
        <f t="shared" si="8"/>
        <v>0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5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4</v>
      </c>
      <c r="K62">
        <f t="shared" si="6"/>
        <v>2</v>
      </c>
      <c r="N62" t="str">
        <f t="shared" si="7"/>
        <v/>
      </c>
      <c r="O62" t="str">
        <f t="shared" si="8"/>
        <v/>
      </c>
      <c r="P62">
        <f t="shared" si="9"/>
        <v>1</v>
      </c>
      <c r="Q62">
        <f t="shared" si="10"/>
        <v>0</v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1</v>
      </c>
      <c r="E63">
        <f t="shared" si="3"/>
        <v>0</v>
      </c>
      <c r="G63">
        <f t="shared" si="4"/>
        <v>1</v>
      </c>
      <c r="I63">
        <f t="shared" si="5"/>
        <v>2</v>
      </c>
      <c r="K63">
        <f t="shared" si="6"/>
        <v>3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1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>
        <f t="shared" si="9"/>
        <v>1</v>
      </c>
      <c r="Q64">
        <f t="shared" si="10"/>
        <v>0</v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2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1</v>
      </c>
      <c r="P66">
        <f>SUM(P54:P65)</f>
        <v>3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5</v>
      </c>
      <c r="V66">
        <f>SUM(V54:V65)</f>
        <v>5</v>
      </c>
      <c r="Y66">
        <f>SUM(Y54:Y65)</f>
        <v>10</v>
      </c>
      <c r="AA66">
        <f>SUM(AA54:AA65)</f>
        <v>10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5</v>
      </c>
      <c r="G68">
        <f>AVERAGE(E68:E79)</f>
        <v>4.416666666666667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1</v>
      </c>
      <c r="E70">
        <f t="shared" si="21"/>
        <v>7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1</v>
      </c>
      <c r="E71">
        <f t="shared" si="21"/>
        <v>6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3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3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3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5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5</v>
      </c>
      <c r="I78">
        <f t="shared" si="22"/>
        <v>0</v>
      </c>
      <c r="K78">
        <f t="shared" si="23"/>
        <v>0</v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5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BN94"/>
  <sheetViews>
    <sheetView workbookViewId="0">
      <selection activeCell="D8" sqref="D8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G4" t="s">
        <v>188</v>
      </c>
      <c r="H4">
        <v>1</v>
      </c>
      <c r="I4">
        <v>1</v>
      </c>
      <c r="J4">
        <v>2</v>
      </c>
      <c r="K4">
        <v>3</v>
      </c>
      <c r="N4">
        <v>4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14</v>
      </c>
      <c r="C5">
        <v>1</v>
      </c>
      <c r="G5" t="s">
        <v>188</v>
      </c>
      <c r="H5">
        <v>1</v>
      </c>
      <c r="I5">
        <v>1</v>
      </c>
      <c r="K5">
        <v>8</v>
      </c>
      <c r="L5">
        <v>7</v>
      </c>
      <c r="M5">
        <v>7</v>
      </c>
      <c r="Q5">
        <v>1</v>
      </c>
      <c r="R5">
        <v>1</v>
      </c>
      <c r="X5">
        <v>1</v>
      </c>
    </row>
    <row r="6" spans="1:66" x14ac:dyDescent="0.2">
      <c r="A6">
        <v>3</v>
      </c>
      <c r="B6">
        <v>22</v>
      </c>
      <c r="G6" t="s">
        <v>188</v>
      </c>
      <c r="H6">
        <v>1</v>
      </c>
      <c r="I6">
        <v>1</v>
      </c>
      <c r="K6">
        <v>10</v>
      </c>
      <c r="L6">
        <v>9</v>
      </c>
      <c r="M6">
        <v>9</v>
      </c>
      <c r="Q6">
        <v>1</v>
      </c>
      <c r="R6">
        <v>1</v>
      </c>
      <c r="S6">
        <v>1</v>
      </c>
      <c r="T6">
        <v>1</v>
      </c>
      <c r="U6">
        <v>1</v>
      </c>
      <c r="W6" t="s">
        <v>189</v>
      </c>
    </row>
    <row r="7" spans="1:66" x14ac:dyDescent="0.2">
      <c r="A7">
        <v>4</v>
      </c>
      <c r="B7">
        <v>37</v>
      </c>
      <c r="K7">
        <v>5</v>
      </c>
      <c r="O7">
        <v>3</v>
      </c>
      <c r="P7">
        <v>2</v>
      </c>
      <c r="Q7">
        <v>3</v>
      </c>
      <c r="R7">
        <v>2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46</v>
      </c>
      <c r="G8" t="s">
        <v>188</v>
      </c>
      <c r="H8">
        <v>1</v>
      </c>
      <c r="I8">
        <v>1</v>
      </c>
      <c r="K8">
        <v>9</v>
      </c>
      <c r="L8">
        <v>4</v>
      </c>
      <c r="M8">
        <v>4</v>
      </c>
      <c r="Q8">
        <v>5</v>
      </c>
      <c r="R8">
        <v>5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56</v>
      </c>
      <c r="G9" t="s">
        <v>188</v>
      </c>
      <c r="H9">
        <v>1</v>
      </c>
      <c r="I9">
        <v>1</v>
      </c>
      <c r="K9">
        <v>7</v>
      </c>
      <c r="N9">
        <v>5</v>
      </c>
      <c r="S9">
        <v>1</v>
      </c>
      <c r="T9">
        <v>1</v>
      </c>
    </row>
    <row r="10" spans="1:66" x14ac:dyDescent="0.2">
      <c r="A10">
        <v>7</v>
      </c>
      <c r="B10">
        <v>68</v>
      </c>
      <c r="K10">
        <v>4</v>
      </c>
      <c r="N10">
        <v>1</v>
      </c>
      <c r="Q10">
        <v>2</v>
      </c>
      <c r="R10">
        <v>2</v>
      </c>
      <c r="X10">
        <v>1</v>
      </c>
    </row>
    <row r="11" spans="1:66" x14ac:dyDescent="0.2">
      <c r="A11">
        <v>8</v>
      </c>
      <c r="B11">
        <v>76</v>
      </c>
      <c r="C11">
        <v>1</v>
      </c>
      <c r="G11" t="s">
        <v>188</v>
      </c>
      <c r="H11">
        <v>1</v>
      </c>
      <c r="I11">
        <v>1</v>
      </c>
      <c r="K11">
        <v>9</v>
      </c>
      <c r="L11">
        <v>7</v>
      </c>
      <c r="M11">
        <v>7</v>
      </c>
      <c r="Q11">
        <v>2</v>
      </c>
      <c r="R11">
        <v>2</v>
      </c>
      <c r="X11">
        <v>1</v>
      </c>
    </row>
    <row r="12" spans="1:66" x14ac:dyDescent="0.2">
      <c r="A12">
        <v>9</v>
      </c>
      <c r="B12">
        <v>85</v>
      </c>
      <c r="C12">
        <v>1</v>
      </c>
      <c r="G12" t="s">
        <v>185</v>
      </c>
      <c r="H12">
        <v>1</v>
      </c>
      <c r="K12">
        <v>9</v>
      </c>
      <c r="L12">
        <v>8</v>
      </c>
      <c r="M12">
        <v>8</v>
      </c>
      <c r="Q12">
        <v>1</v>
      </c>
      <c r="R12">
        <v>1</v>
      </c>
      <c r="X12">
        <v>1</v>
      </c>
    </row>
    <row r="13" spans="1:66" x14ac:dyDescent="0.2">
      <c r="A13">
        <v>10</v>
      </c>
      <c r="B13">
        <v>94</v>
      </c>
      <c r="C13">
        <v>1</v>
      </c>
      <c r="G13" t="s">
        <v>188</v>
      </c>
      <c r="H13">
        <v>1</v>
      </c>
      <c r="I13">
        <v>1</v>
      </c>
      <c r="K13">
        <v>8</v>
      </c>
      <c r="L13">
        <v>5</v>
      </c>
      <c r="M13">
        <v>5</v>
      </c>
      <c r="Q13">
        <v>3</v>
      </c>
      <c r="R13">
        <v>3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102</v>
      </c>
      <c r="K14">
        <v>4</v>
      </c>
      <c r="N14">
        <v>5</v>
      </c>
      <c r="X14">
        <v>1</v>
      </c>
    </row>
    <row r="15" spans="1:66" x14ac:dyDescent="0.2">
      <c r="A15">
        <v>12</v>
      </c>
      <c r="B15">
        <v>113</v>
      </c>
      <c r="G15" t="s">
        <v>185</v>
      </c>
      <c r="H15">
        <v>1</v>
      </c>
      <c r="I15">
        <v>1</v>
      </c>
      <c r="K15">
        <v>10</v>
      </c>
      <c r="L15">
        <v>9</v>
      </c>
      <c r="M15">
        <v>9</v>
      </c>
      <c r="Q15">
        <v>1</v>
      </c>
      <c r="R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9</v>
      </c>
      <c r="I16">
        <f t="shared" si="0"/>
        <v>8</v>
      </c>
      <c r="J16">
        <f t="shared" si="0"/>
        <v>2</v>
      </c>
      <c r="K16">
        <f t="shared" si="0"/>
        <v>86</v>
      </c>
      <c r="L16">
        <f t="shared" si="0"/>
        <v>49</v>
      </c>
      <c r="M16">
        <f t="shared" si="0"/>
        <v>49</v>
      </c>
      <c r="N16">
        <f t="shared" si="0"/>
        <v>15</v>
      </c>
      <c r="O16">
        <f t="shared" si="0"/>
        <v>3</v>
      </c>
      <c r="P16">
        <f t="shared" si="0"/>
        <v>2</v>
      </c>
      <c r="Q16">
        <f>SUM(Q4:Q15)</f>
        <v>19</v>
      </c>
      <c r="R16">
        <f>SUM(R4:R15)</f>
        <v>18</v>
      </c>
      <c r="S16">
        <f>SUM(S4:S15)</f>
        <v>5</v>
      </c>
      <c r="T16">
        <v>0</v>
      </c>
      <c r="U16">
        <f>SUM(U4:U15)</f>
        <v>2</v>
      </c>
      <c r="V16">
        <f>SUM(V4:V15)</f>
        <v>1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0.88888888888888884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0.66666666666666663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0.5</v>
      </c>
      <c r="I22" t="s">
        <v>23</v>
      </c>
      <c r="N22">
        <f>AVERAGE(I54:I65)</f>
        <v>0.16666666666666666</v>
      </c>
      <c r="O22">
        <f>MEDIAN(I54:I65)</f>
        <v>0</v>
      </c>
      <c r="P22">
        <f>MAX(I54:I65)</f>
        <v>2</v>
      </c>
      <c r="Q22">
        <f>_xlfn.STDEV.S(I54:I65)</f>
        <v>0.57735026918962573</v>
      </c>
      <c r="S22">
        <f>V16/U16</f>
        <v>0.5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0.16666666666666666</v>
      </c>
      <c r="J24">
        <f>MAX(A54:A65)</f>
        <v>2</v>
      </c>
      <c r="K24">
        <f>_xlfn.STDEV.S(A54:A65)</f>
        <v>0.57735026918962573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7.166666666666667</v>
      </c>
      <c r="O25">
        <f>MEDIAN(K54:K65)</f>
        <v>8</v>
      </c>
      <c r="P25">
        <f>MAX(K54:K65)</f>
        <v>10</v>
      </c>
      <c r="Q25">
        <f>_xlfn.STDEV.S(K54:K65)</f>
        <v>2.5166114784235827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0.66666666666666663</v>
      </c>
      <c r="I26">
        <f>R16/Q16</f>
        <v>0.94736842105263153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2.2727272727272728E-2</v>
      </c>
    </row>
    <row r="29" spans="1:66" x14ac:dyDescent="0.2">
      <c r="D29">
        <f>_xlfn.STDEV.S(A68:A79)</f>
        <v>0.33333333333333343</v>
      </c>
      <c r="I29">
        <f>AVERAGE(C54:C65)</f>
        <v>1.5</v>
      </c>
      <c r="J29">
        <f>MAX(C54:C65)</f>
        <v>5</v>
      </c>
      <c r="K29">
        <f>_xlfn.STDEV.S(C54:C65)</f>
        <v>1.4459976109624424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0.97727272727272729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4.083333333333333</v>
      </c>
      <c r="J34">
        <f>MAX(E54:E65)</f>
        <v>9</v>
      </c>
      <c r="K34">
        <f>_xlfn.STDEV.S(E54:E65)</f>
        <v>3.8720051965905524</v>
      </c>
      <c r="L34">
        <f>AVERAGE(K68:K79)</f>
        <v>6.75</v>
      </c>
      <c r="M34">
        <f>MAX(K68:K79)</f>
        <v>8</v>
      </c>
      <c r="N34">
        <f>_xlfn.STDEV.S(K68:K79)</f>
        <v>1.2583057392117916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1.25</v>
      </c>
      <c r="J37">
        <f>MAX(G54:G65)</f>
        <v>5</v>
      </c>
      <c r="K37">
        <f>_xlfn.STDEV.S(G54:G65)</f>
        <v>2.0943647333651407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4</v>
      </c>
      <c r="I54">
        <f t="shared" ref="I54:I65" si="5">IF(ISBLANK(B4),"",J4)</f>
        <v>2</v>
      </c>
      <c r="K54">
        <f t="shared" ref="K54:K65" si="6">IF(ISBLANK(B4),"",K4)</f>
        <v>3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7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9</v>
      </c>
      <c r="G56">
        <f t="shared" si="4"/>
        <v>0</v>
      </c>
      <c r="I56">
        <f t="shared" si="5"/>
        <v>0</v>
      </c>
      <c r="K56">
        <f t="shared" si="6"/>
        <v>10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>
        <f t="shared" si="17"/>
        <v>1</v>
      </c>
      <c r="AE56">
        <f t="shared" si="18"/>
        <v>0</v>
      </c>
    </row>
    <row r="57" spans="1:44" x14ac:dyDescent="0.2">
      <c r="A57">
        <f t="shared" si="1"/>
        <v>2</v>
      </c>
      <c r="C57">
        <f t="shared" si="2"/>
        <v>2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5</v>
      </c>
      <c r="E58">
        <f t="shared" si="3"/>
        <v>4</v>
      </c>
      <c r="G58">
        <f t="shared" si="4"/>
        <v>0</v>
      </c>
      <c r="I58">
        <f t="shared" si="5"/>
        <v>0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0</v>
      </c>
      <c r="G59">
        <f t="shared" si="4"/>
        <v>5</v>
      </c>
      <c r="I59">
        <f t="shared" si="5"/>
        <v>0</v>
      </c>
      <c r="K59">
        <f t="shared" si="6"/>
        <v>7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2</v>
      </c>
      <c r="E60">
        <f t="shared" si="3"/>
        <v>0</v>
      </c>
      <c r="G60">
        <f t="shared" si="4"/>
        <v>1</v>
      </c>
      <c r="I60">
        <f t="shared" si="5"/>
        <v>0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7</v>
      </c>
      <c r="G61">
        <f t="shared" si="4"/>
        <v>0</v>
      </c>
      <c r="I61">
        <f t="shared" si="5"/>
        <v>0</v>
      </c>
      <c r="K61">
        <f t="shared" si="6"/>
        <v>9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8</v>
      </c>
      <c r="G62">
        <f t="shared" si="4"/>
        <v>0</v>
      </c>
      <c r="I62">
        <f t="shared" si="5"/>
        <v>0</v>
      </c>
      <c r="K62">
        <f t="shared" si="6"/>
        <v>9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0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3</v>
      </c>
      <c r="E63">
        <f t="shared" si="3"/>
        <v>5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0</v>
      </c>
      <c r="G64">
        <f t="shared" si="4"/>
        <v>5</v>
      </c>
      <c r="I64">
        <f t="shared" si="5"/>
        <v>0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10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1</v>
      </c>
      <c r="U66">
        <f>SUM(U54:U65)</f>
        <v>7</v>
      </c>
      <c r="V66">
        <f>SUM(V54:V65)</f>
        <v>7</v>
      </c>
      <c r="Y66">
        <f>SUM(Y54:Y65)</f>
        <v>1</v>
      </c>
      <c r="AA66">
        <f>SUM(AA54:AA65)</f>
        <v>1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1</v>
      </c>
      <c r="G68">
        <f>AVERAGE(E68:E79)</f>
        <v>6.416666666666667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9</v>
      </c>
      <c r="I69">
        <f t="shared" ref="I69:I79" si="22">IF(ISBLANK(B5)+ISBLANK(C5), "", L5)</f>
        <v>7</v>
      </c>
      <c r="K69">
        <f t="shared" ref="K69:K79" si="23">IF(ISBLANK(B5)+ISBLANK(C5), "", M5)</f>
        <v>7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11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10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1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2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10</v>
      </c>
      <c r="I75">
        <f t="shared" si="22"/>
        <v>7</v>
      </c>
      <c r="K75">
        <f t="shared" si="23"/>
        <v>7</v>
      </c>
    </row>
    <row r="76" spans="1:31" x14ac:dyDescent="0.2">
      <c r="A76">
        <f t="shared" si="19"/>
        <v>0</v>
      </c>
      <c r="C76">
        <f t="shared" si="20"/>
        <v>0</v>
      </c>
      <c r="E76">
        <f t="shared" si="21"/>
        <v>9</v>
      </c>
      <c r="I76">
        <f t="shared" si="22"/>
        <v>8</v>
      </c>
      <c r="K76">
        <f t="shared" si="23"/>
        <v>8</v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9</v>
      </c>
      <c r="I77">
        <f t="shared" si="22"/>
        <v>5</v>
      </c>
      <c r="K77">
        <f t="shared" si="23"/>
        <v>5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0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11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27</v>
      </c>
      <c r="K80">
        <f>SUM(K68:K79)</f>
        <v>27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D4" t="s">
        <v>188</v>
      </c>
      <c r="E4">
        <v>1</v>
      </c>
      <c r="F4">
        <v>1</v>
      </c>
      <c r="K4">
        <v>8</v>
      </c>
      <c r="L4">
        <v>2</v>
      </c>
      <c r="M4">
        <v>2</v>
      </c>
      <c r="N4">
        <v>4</v>
      </c>
      <c r="O4">
        <v>2</v>
      </c>
      <c r="X4">
        <v>1</v>
      </c>
    </row>
    <row r="5" spans="1:66" x14ac:dyDescent="0.2">
      <c r="A5">
        <v>2</v>
      </c>
      <c r="B5">
        <v>11</v>
      </c>
      <c r="G5" t="s">
        <v>188</v>
      </c>
      <c r="H5">
        <v>2</v>
      </c>
      <c r="I5">
        <v>2</v>
      </c>
      <c r="K5">
        <v>8</v>
      </c>
      <c r="L5">
        <v>2</v>
      </c>
      <c r="M5">
        <v>2</v>
      </c>
      <c r="O5">
        <v>5</v>
      </c>
      <c r="P5">
        <v>4</v>
      </c>
      <c r="Q5">
        <v>1</v>
      </c>
      <c r="R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22</v>
      </c>
      <c r="C6">
        <v>1</v>
      </c>
      <c r="D6" t="s">
        <v>185</v>
      </c>
      <c r="E6">
        <v>2</v>
      </c>
      <c r="F6">
        <v>1</v>
      </c>
      <c r="K6">
        <v>5</v>
      </c>
      <c r="N6">
        <v>4</v>
      </c>
      <c r="O6">
        <v>1</v>
      </c>
      <c r="P6">
        <v>1</v>
      </c>
      <c r="X6">
        <v>1</v>
      </c>
    </row>
    <row r="7" spans="1:66" x14ac:dyDescent="0.2">
      <c r="A7">
        <v>4</v>
      </c>
      <c r="B7">
        <v>31</v>
      </c>
      <c r="D7" t="s">
        <v>185</v>
      </c>
      <c r="E7">
        <v>1</v>
      </c>
      <c r="F7">
        <v>1</v>
      </c>
      <c r="K7">
        <v>5</v>
      </c>
      <c r="N7">
        <v>1</v>
      </c>
      <c r="O7">
        <v>4</v>
      </c>
      <c r="P7">
        <v>4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41</v>
      </c>
      <c r="G8" t="s">
        <v>185</v>
      </c>
      <c r="H8">
        <v>2</v>
      </c>
      <c r="I8">
        <v>2</v>
      </c>
      <c r="K8">
        <v>7</v>
      </c>
      <c r="O8">
        <v>7</v>
      </c>
      <c r="P8">
        <v>6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53</v>
      </c>
      <c r="D9" t="s">
        <v>188</v>
      </c>
      <c r="E9">
        <v>1</v>
      </c>
      <c r="F9">
        <v>1</v>
      </c>
      <c r="J9">
        <v>3</v>
      </c>
      <c r="K9">
        <v>5</v>
      </c>
      <c r="N9">
        <v>6</v>
      </c>
      <c r="O9">
        <v>3</v>
      </c>
      <c r="P9">
        <v>3</v>
      </c>
      <c r="S9">
        <v>1</v>
      </c>
      <c r="T9">
        <v>1</v>
      </c>
      <c r="U9">
        <v>1</v>
      </c>
      <c r="W9" t="s">
        <v>186</v>
      </c>
    </row>
    <row r="10" spans="1:66" x14ac:dyDescent="0.2">
      <c r="A10">
        <v>7</v>
      </c>
      <c r="B10">
        <v>70</v>
      </c>
      <c r="K10">
        <v>8</v>
      </c>
      <c r="L10">
        <v>1</v>
      </c>
      <c r="M10">
        <v>1</v>
      </c>
      <c r="O10">
        <v>6</v>
      </c>
      <c r="P10">
        <v>6</v>
      </c>
      <c r="Q10">
        <v>1</v>
      </c>
      <c r="R10">
        <v>1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77</v>
      </c>
      <c r="C11">
        <v>1</v>
      </c>
      <c r="D11" t="s">
        <v>185</v>
      </c>
      <c r="E11">
        <v>3</v>
      </c>
      <c r="F11">
        <v>0</v>
      </c>
      <c r="J11">
        <v>2</v>
      </c>
      <c r="K11">
        <v>6</v>
      </c>
      <c r="N11">
        <v>2</v>
      </c>
      <c r="O11">
        <v>5</v>
      </c>
      <c r="P11">
        <v>3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82</v>
      </c>
      <c r="G12" t="s">
        <v>185</v>
      </c>
      <c r="H12">
        <v>1</v>
      </c>
      <c r="I12">
        <v>1</v>
      </c>
      <c r="J12">
        <v>2</v>
      </c>
      <c r="K12">
        <v>7</v>
      </c>
      <c r="N12">
        <v>3</v>
      </c>
      <c r="O12">
        <v>4</v>
      </c>
      <c r="P12">
        <v>3</v>
      </c>
      <c r="Q12">
        <v>1</v>
      </c>
      <c r="R12">
        <v>1</v>
      </c>
      <c r="X12">
        <v>1</v>
      </c>
    </row>
    <row r="13" spans="1:66" x14ac:dyDescent="0.2">
      <c r="A13">
        <v>10</v>
      </c>
      <c r="B13">
        <v>100</v>
      </c>
      <c r="C13">
        <v>1</v>
      </c>
      <c r="D13" t="s">
        <v>185</v>
      </c>
      <c r="E13">
        <v>2</v>
      </c>
      <c r="F13">
        <v>1</v>
      </c>
      <c r="J13">
        <v>3</v>
      </c>
      <c r="K13">
        <v>3</v>
      </c>
      <c r="O13">
        <v>6</v>
      </c>
      <c r="P13">
        <v>6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106</v>
      </c>
      <c r="J14">
        <v>1</v>
      </c>
      <c r="K14">
        <v>6</v>
      </c>
      <c r="N14">
        <v>1</v>
      </c>
      <c r="O14">
        <v>6</v>
      </c>
      <c r="P14">
        <v>6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112</v>
      </c>
      <c r="C15">
        <v>1</v>
      </c>
      <c r="D15" t="s">
        <v>188</v>
      </c>
      <c r="E15">
        <v>1</v>
      </c>
      <c r="F15">
        <v>1</v>
      </c>
      <c r="J15">
        <v>5</v>
      </c>
      <c r="K15">
        <v>3</v>
      </c>
      <c r="N15">
        <v>5</v>
      </c>
      <c r="O15">
        <v>3</v>
      </c>
      <c r="P15">
        <v>3</v>
      </c>
      <c r="U15">
        <v>1</v>
      </c>
      <c r="W15" t="s">
        <v>189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11</v>
      </c>
      <c r="F16">
        <f>SUM(F4:F15)</f>
        <v>6</v>
      </c>
      <c r="H16">
        <f t="shared" ref="H16:P16" si="0">SUM(H4:H15)</f>
        <v>5</v>
      </c>
      <c r="I16">
        <f t="shared" si="0"/>
        <v>5</v>
      </c>
      <c r="J16">
        <f t="shared" si="0"/>
        <v>16</v>
      </c>
      <c r="K16">
        <f t="shared" si="0"/>
        <v>71</v>
      </c>
      <c r="L16">
        <f t="shared" si="0"/>
        <v>5</v>
      </c>
      <c r="M16">
        <f t="shared" si="0"/>
        <v>5</v>
      </c>
      <c r="N16">
        <f t="shared" si="0"/>
        <v>26</v>
      </c>
      <c r="O16">
        <f t="shared" si="0"/>
        <v>52</v>
      </c>
      <c r="P16">
        <f t="shared" si="0"/>
        <v>45</v>
      </c>
      <c r="Q16">
        <f>SUM(Q4:Q15)</f>
        <v>3</v>
      </c>
      <c r="R16">
        <f>SUM(R4:R15)</f>
        <v>3</v>
      </c>
      <c r="S16">
        <f>SUM(S4:S15)</f>
        <v>4</v>
      </c>
      <c r="T16">
        <v>0</v>
      </c>
      <c r="U16">
        <f>SUM(U4:U15)</f>
        <v>6</v>
      </c>
      <c r="V16">
        <f>SUM(V4:V15)</f>
        <v>4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0.86538461538461542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0.375</v>
      </c>
      <c r="F22">
        <f>T66/S66</f>
        <v>1</v>
      </c>
      <c r="I22" t="s">
        <v>23</v>
      </c>
      <c r="N22">
        <f>AVERAGE(I54:I65)</f>
        <v>1.3333333333333333</v>
      </c>
      <c r="O22">
        <f>MEDIAN(I54:I65)</f>
        <v>0.5</v>
      </c>
      <c r="P22">
        <f>MAX(I54:I65)</f>
        <v>5</v>
      </c>
      <c r="Q22">
        <f>_xlfn.STDEV.S(I54:I65)</f>
        <v>1.6696942198734437</v>
      </c>
      <c r="S22">
        <f>V16/U16</f>
        <v>0.66666666666666663</v>
      </c>
      <c r="U22">
        <f>AA66/Y66</f>
        <v>0.8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1</v>
      </c>
      <c r="F24">
        <f>V66/U66</f>
        <v>1</v>
      </c>
      <c r="I24">
        <f>AVERAGE(A54:A65)</f>
        <v>3.75</v>
      </c>
      <c r="J24">
        <f>MAX(A54:A65)</f>
        <v>6</v>
      </c>
      <c r="K24">
        <f>_xlfn.STDEV.S(A54:A65)</f>
        <v>2.0056737702645644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5.916666666666667</v>
      </c>
      <c r="O25">
        <f>MEDIAN(K54:K65)</f>
        <v>6</v>
      </c>
      <c r="P25">
        <f>MAX(K54:K65)</f>
        <v>8</v>
      </c>
      <c r="Q25">
        <f>_xlfn.STDEV.S(K54:K65)</f>
        <v>1.7816403745544234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0.5</v>
      </c>
      <c r="F26">
        <f>I16/A19</f>
        <v>0.41666666666666669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0.18390804597701149</v>
      </c>
    </row>
    <row r="29" spans="1:66" x14ac:dyDescent="0.2">
      <c r="D29">
        <f>_xlfn.STDEV.S(A68:A79)</f>
        <v>0.57735026918962551</v>
      </c>
      <c r="I29">
        <f>AVERAGE(C54:C65)</f>
        <v>0.25</v>
      </c>
      <c r="J29">
        <f>MAX(C54:C65)</f>
        <v>1</v>
      </c>
      <c r="K29">
        <f>_xlfn.STDEV.S(C54:C65)</f>
        <v>0.45226701686664544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0.81609195402298851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>
        <f>D94/B94</f>
        <v>0.33333333333333331</v>
      </c>
      <c r="F32">
        <f>H94/F94</f>
        <v>1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0.41666666666666669</v>
      </c>
      <c r="J34">
        <f>MAX(E54:E65)</f>
        <v>2</v>
      </c>
      <c r="K34">
        <f>_xlfn.STDEV.S(E54:E65)</f>
        <v>0.79296146109875909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2.1666666666666665</v>
      </c>
      <c r="J37">
        <f>MAX(G54:G65)</f>
        <v>6</v>
      </c>
      <c r="K37">
        <f>_xlfn.STDEV.S(G54:G65)</f>
        <v>2.1672493389016632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2</v>
      </c>
      <c r="G54">
        <f t="shared" ref="G54:G65" si="4">IF(ISBLANK(B4),"",N4)</f>
        <v>4</v>
      </c>
      <c r="I54">
        <f t="shared" ref="I54:I65" si="5">IF(ISBLANK(B4),"",J4)</f>
        <v>0</v>
      </c>
      <c r="K54">
        <f t="shared" ref="K54:K65" si="6">IF(ISBLANK(B4),"",K4)</f>
        <v>8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1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1</v>
      </c>
      <c r="E55">
        <f t="shared" si="3"/>
        <v>2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2</v>
      </c>
      <c r="V55">
        <f t="shared" si="14"/>
        <v>2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1</v>
      </c>
      <c r="C56">
        <f t="shared" si="2"/>
        <v>0</v>
      </c>
      <c r="E56">
        <f t="shared" si="3"/>
        <v>0</v>
      </c>
      <c r="G56">
        <f t="shared" si="4"/>
        <v>4</v>
      </c>
      <c r="I56">
        <f t="shared" si="5"/>
        <v>0</v>
      </c>
      <c r="K56">
        <f t="shared" si="6"/>
        <v>5</v>
      </c>
      <c r="N56">
        <f t="shared" si="7"/>
        <v>2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0</v>
      </c>
      <c r="E57">
        <f t="shared" si="3"/>
        <v>0</v>
      </c>
      <c r="G57">
        <f t="shared" si="4"/>
        <v>1</v>
      </c>
      <c r="I57">
        <f t="shared" si="5"/>
        <v>0</v>
      </c>
      <c r="K57">
        <f t="shared" si="6"/>
        <v>5</v>
      </c>
      <c r="N57">
        <f t="shared" si="7"/>
        <v>1</v>
      </c>
      <c r="O57">
        <f t="shared" si="8"/>
        <v>1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6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7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2</v>
      </c>
      <c r="T58">
        <f t="shared" si="12"/>
        <v>2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0</v>
      </c>
      <c r="E59">
        <f t="shared" si="3"/>
        <v>0</v>
      </c>
      <c r="G59">
        <f t="shared" si="4"/>
        <v>6</v>
      </c>
      <c r="I59">
        <f t="shared" si="5"/>
        <v>3</v>
      </c>
      <c r="K59">
        <f t="shared" si="6"/>
        <v>5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1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6</v>
      </c>
      <c r="C60">
        <f t="shared" si="2"/>
        <v>1</v>
      </c>
      <c r="E60">
        <f t="shared" si="3"/>
        <v>1</v>
      </c>
      <c r="G60">
        <f t="shared" si="4"/>
        <v>0</v>
      </c>
      <c r="I60">
        <f t="shared" si="5"/>
        <v>0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2</v>
      </c>
      <c r="I61">
        <f t="shared" si="5"/>
        <v>2</v>
      </c>
      <c r="K61">
        <f t="shared" si="6"/>
        <v>6</v>
      </c>
      <c r="N61">
        <f t="shared" si="7"/>
        <v>3</v>
      </c>
      <c r="O61">
        <f t="shared" si="8"/>
        <v>0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1</v>
      </c>
      <c r="E62">
        <f t="shared" si="3"/>
        <v>0</v>
      </c>
      <c r="G62">
        <f t="shared" si="4"/>
        <v>3</v>
      </c>
      <c r="I62">
        <f t="shared" si="5"/>
        <v>2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6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3</v>
      </c>
      <c r="K63">
        <f t="shared" si="6"/>
        <v>3</v>
      </c>
      <c r="N63">
        <f t="shared" si="7"/>
        <v>2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6</v>
      </c>
      <c r="C64">
        <f t="shared" si="2"/>
        <v>0</v>
      </c>
      <c r="E64">
        <f t="shared" si="3"/>
        <v>0</v>
      </c>
      <c r="G64">
        <f t="shared" si="4"/>
        <v>1</v>
      </c>
      <c r="I64">
        <f t="shared" si="5"/>
        <v>1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3</v>
      </c>
      <c r="C65">
        <f t="shared" si="2"/>
        <v>0</v>
      </c>
      <c r="E65">
        <f t="shared" si="3"/>
        <v>0</v>
      </c>
      <c r="G65">
        <f t="shared" si="4"/>
        <v>5</v>
      </c>
      <c r="I65">
        <f t="shared" si="5"/>
        <v>5</v>
      </c>
      <c r="K65">
        <f t="shared" si="6"/>
        <v>3</v>
      </c>
      <c r="N65" t="str">
        <f t="shared" si="7"/>
        <v/>
      </c>
      <c r="O65" t="str">
        <f t="shared" si="8"/>
        <v/>
      </c>
      <c r="P65">
        <f t="shared" si="9"/>
        <v>1</v>
      </c>
      <c r="Q65">
        <f t="shared" si="10"/>
        <v>1</v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>
        <f t="shared" si="17"/>
        <v>1</v>
      </c>
      <c r="AE65">
        <f t="shared" si="18"/>
        <v>0</v>
      </c>
    </row>
    <row r="66" spans="1:31" x14ac:dyDescent="0.2">
      <c r="M66" t="s">
        <v>8</v>
      </c>
      <c r="N66">
        <f>SUM(N54:N65)</f>
        <v>8</v>
      </c>
      <c r="O66">
        <f>SUM(O54:O65)</f>
        <v>3</v>
      </c>
      <c r="P66">
        <f>SUM(P54:P65)</f>
        <v>3</v>
      </c>
      <c r="Q66">
        <f>SUM(Q54:Q65)</f>
        <v>3</v>
      </c>
      <c r="S66">
        <f>SUM(S54:S65)</f>
        <v>3</v>
      </c>
      <c r="T66">
        <f>SUM(T54:T65)</f>
        <v>3</v>
      </c>
      <c r="U66">
        <f>SUM(U54:U65)</f>
        <v>2</v>
      </c>
      <c r="V66">
        <f>SUM(V54:V65)</f>
        <v>2</v>
      </c>
      <c r="Y66">
        <f>SUM(Y54:Y65)</f>
        <v>5</v>
      </c>
      <c r="AA66">
        <f>SUM(AA54:AA65)</f>
        <v>4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3</v>
      </c>
      <c r="G68">
        <f>AVERAGE(E68:E79)</f>
        <v>5.333333333333333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2</v>
      </c>
      <c r="C69">
        <f t="shared" si="20"/>
        <v>0</v>
      </c>
      <c r="E69">
        <f t="shared" si="21"/>
        <v>9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2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5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2</v>
      </c>
      <c r="C72">
        <f t="shared" si="20"/>
        <v>0</v>
      </c>
      <c r="E72">
        <f t="shared" si="21"/>
        <v>8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4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8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3</v>
      </c>
      <c r="I75">
        <f t="shared" si="22"/>
        <v>0</v>
      </c>
      <c r="K75">
        <f t="shared" si="23"/>
        <v>0</v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5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7</v>
      </c>
      <c r="I77">
        <f t="shared" si="22"/>
        <v>0</v>
      </c>
      <c r="K77">
        <f t="shared" si="23"/>
        <v>0</v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6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4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>
        <f t="shared" ref="F83:F93" si="26">IF(H5 &gt;= 2, 2, "")</f>
        <v>2</v>
      </c>
      <c r="H83">
        <f t="shared" ref="H83:H93" si="27">IF(H5 &gt;= 2, IF(I5 &gt; 2, 2, I5), "")</f>
        <v>2</v>
      </c>
    </row>
    <row r="84" spans="1:8" x14ac:dyDescent="0.2">
      <c r="B84">
        <f t="shared" si="24"/>
        <v>2</v>
      </c>
      <c r="D84">
        <f t="shared" si="25"/>
        <v>1</v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>
        <f t="shared" si="26"/>
        <v>2</v>
      </c>
      <c r="H86">
        <f t="shared" si="27"/>
        <v>2</v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>
        <f t="shared" si="24"/>
        <v>2</v>
      </c>
      <c r="D89">
        <f t="shared" si="25"/>
        <v>0</v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>
        <f t="shared" si="24"/>
        <v>2</v>
      </c>
      <c r="D91">
        <f t="shared" si="25"/>
        <v>1</v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6</v>
      </c>
      <c r="D94">
        <f>SUM(D82:D93)</f>
        <v>2</v>
      </c>
      <c r="F94">
        <f>SUM(F82:F93)</f>
        <v>4</v>
      </c>
      <c r="H94">
        <f>SUM(H82:H93)</f>
        <v>4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BN94"/>
  <sheetViews>
    <sheetView workbookViewId="0">
      <selection activeCell="B6" sqref="B6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G4" t="s">
        <v>188</v>
      </c>
      <c r="H4">
        <v>1</v>
      </c>
      <c r="I4">
        <v>1</v>
      </c>
      <c r="K4">
        <v>6</v>
      </c>
      <c r="N4">
        <v>2</v>
      </c>
      <c r="O4">
        <v>4</v>
      </c>
      <c r="P4">
        <v>1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15</v>
      </c>
      <c r="C5">
        <v>1</v>
      </c>
      <c r="G5" t="s">
        <v>188</v>
      </c>
      <c r="H5">
        <v>1</v>
      </c>
      <c r="I5">
        <v>1</v>
      </c>
      <c r="J5">
        <v>1</v>
      </c>
      <c r="K5">
        <v>3</v>
      </c>
      <c r="N5">
        <v>1</v>
      </c>
      <c r="O5">
        <v>3</v>
      </c>
      <c r="P5">
        <v>3</v>
      </c>
      <c r="U5">
        <v>1</v>
      </c>
      <c r="V5">
        <v>1</v>
      </c>
      <c r="W5" t="s">
        <v>186</v>
      </c>
      <c r="Y5">
        <v>1</v>
      </c>
    </row>
    <row r="6" spans="1:66" x14ac:dyDescent="0.2">
      <c r="A6">
        <v>3</v>
      </c>
      <c r="B6">
        <v>27</v>
      </c>
      <c r="C6">
        <v>1</v>
      </c>
      <c r="G6" t="s">
        <v>188</v>
      </c>
      <c r="H6">
        <v>1</v>
      </c>
      <c r="I6">
        <v>1</v>
      </c>
      <c r="K6">
        <v>7</v>
      </c>
      <c r="L6">
        <v>1</v>
      </c>
      <c r="M6">
        <v>1</v>
      </c>
      <c r="O6">
        <v>1</v>
      </c>
      <c r="P6">
        <v>1</v>
      </c>
      <c r="Q6">
        <v>5</v>
      </c>
      <c r="R6">
        <v>5</v>
      </c>
      <c r="X6">
        <v>1</v>
      </c>
    </row>
    <row r="7" spans="1:66" x14ac:dyDescent="0.2">
      <c r="A7">
        <v>4</v>
      </c>
      <c r="B7">
        <v>35</v>
      </c>
      <c r="C7">
        <v>1</v>
      </c>
      <c r="G7" t="s">
        <v>188</v>
      </c>
      <c r="H7">
        <v>1</v>
      </c>
      <c r="I7">
        <v>1</v>
      </c>
      <c r="K7">
        <v>7</v>
      </c>
      <c r="L7">
        <v>4</v>
      </c>
      <c r="M7">
        <v>4</v>
      </c>
      <c r="O7">
        <v>1</v>
      </c>
      <c r="P7">
        <v>1</v>
      </c>
      <c r="Q7">
        <v>2</v>
      </c>
      <c r="R7">
        <v>2</v>
      </c>
      <c r="S7">
        <v>1</v>
      </c>
      <c r="T7">
        <v>1</v>
      </c>
      <c r="X7">
        <v>1</v>
      </c>
      <c r="Y7">
        <v>1</v>
      </c>
    </row>
    <row r="8" spans="1:66" x14ac:dyDescent="0.2">
      <c r="A8">
        <v>5</v>
      </c>
      <c r="B8">
        <v>49</v>
      </c>
      <c r="G8" t="s">
        <v>188</v>
      </c>
      <c r="H8">
        <v>1</v>
      </c>
      <c r="I8">
        <v>1</v>
      </c>
      <c r="K8">
        <v>4</v>
      </c>
      <c r="O8">
        <v>4</v>
      </c>
      <c r="P8">
        <v>4</v>
      </c>
      <c r="S8">
        <v>1</v>
      </c>
      <c r="T8">
        <v>1</v>
      </c>
      <c r="U8">
        <v>1</v>
      </c>
      <c r="W8" t="s">
        <v>186</v>
      </c>
      <c r="X8">
        <v>1</v>
      </c>
    </row>
    <row r="9" spans="1:66" x14ac:dyDescent="0.2">
      <c r="A9">
        <v>6</v>
      </c>
      <c r="B9">
        <v>60</v>
      </c>
      <c r="G9" t="s">
        <v>188</v>
      </c>
      <c r="H9">
        <v>1</v>
      </c>
      <c r="I9">
        <v>1</v>
      </c>
      <c r="J9">
        <v>1</v>
      </c>
      <c r="K9">
        <v>4</v>
      </c>
      <c r="O9">
        <v>2</v>
      </c>
      <c r="Q9">
        <v>2</v>
      </c>
      <c r="R9">
        <v>2</v>
      </c>
      <c r="X9">
        <v>1</v>
      </c>
    </row>
    <row r="10" spans="1:66" x14ac:dyDescent="0.2">
      <c r="A10">
        <v>7</v>
      </c>
      <c r="B10">
        <v>68</v>
      </c>
      <c r="C10">
        <v>1</v>
      </c>
      <c r="G10" t="s">
        <v>185</v>
      </c>
      <c r="H10">
        <v>1</v>
      </c>
      <c r="I10">
        <v>1</v>
      </c>
      <c r="J10">
        <v>1</v>
      </c>
      <c r="K10">
        <v>5</v>
      </c>
      <c r="Q10">
        <v>5</v>
      </c>
      <c r="R10">
        <v>5</v>
      </c>
      <c r="S10">
        <v>1</v>
      </c>
      <c r="T10">
        <v>1</v>
      </c>
      <c r="X10">
        <v>1</v>
      </c>
      <c r="Y10">
        <v>2</v>
      </c>
    </row>
    <row r="11" spans="1:66" x14ac:dyDescent="0.2">
      <c r="A11">
        <v>8</v>
      </c>
      <c r="B11">
        <v>73</v>
      </c>
      <c r="G11" t="s">
        <v>188</v>
      </c>
      <c r="H11">
        <v>1</v>
      </c>
      <c r="I11">
        <v>1</v>
      </c>
      <c r="K11">
        <v>5</v>
      </c>
      <c r="O11">
        <v>5</v>
      </c>
      <c r="P11">
        <v>3</v>
      </c>
      <c r="S11">
        <v>1</v>
      </c>
      <c r="T11">
        <v>1</v>
      </c>
      <c r="X11">
        <v>1</v>
      </c>
      <c r="Y11">
        <v>1</v>
      </c>
    </row>
    <row r="12" spans="1:66" x14ac:dyDescent="0.2">
      <c r="A12">
        <v>9</v>
      </c>
      <c r="B12">
        <v>90</v>
      </c>
      <c r="G12" t="s">
        <v>188</v>
      </c>
      <c r="H12">
        <v>1</v>
      </c>
      <c r="I12">
        <v>1</v>
      </c>
      <c r="K12">
        <v>8</v>
      </c>
      <c r="L12">
        <v>6</v>
      </c>
      <c r="M12">
        <v>6</v>
      </c>
      <c r="Q12">
        <v>2</v>
      </c>
      <c r="R12">
        <v>2</v>
      </c>
      <c r="X12">
        <v>1</v>
      </c>
    </row>
    <row r="13" spans="1:66" x14ac:dyDescent="0.2">
      <c r="A13">
        <v>10</v>
      </c>
      <c r="B13">
        <v>99</v>
      </c>
      <c r="J13">
        <v>2</v>
      </c>
      <c r="K13">
        <v>3</v>
      </c>
      <c r="N13">
        <v>1</v>
      </c>
      <c r="O13">
        <v>1</v>
      </c>
      <c r="P13">
        <v>1</v>
      </c>
      <c r="Q13">
        <v>3</v>
      </c>
      <c r="R13">
        <v>2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108</v>
      </c>
      <c r="G14" t="s">
        <v>188</v>
      </c>
      <c r="H14">
        <v>1</v>
      </c>
      <c r="I14">
        <v>1</v>
      </c>
      <c r="K14">
        <v>4</v>
      </c>
      <c r="O14">
        <v>4</v>
      </c>
      <c r="P14">
        <v>3</v>
      </c>
      <c r="S14">
        <v>1</v>
      </c>
      <c r="T14">
        <v>1</v>
      </c>
      <c r="X14">
        <v>1</v>
      </c>
      <c r="Y14">
        <v>2</v>
      </c>
    </row>
    <row r="15" spans="1:66" x14ac:dyDescent="0.2">
      <c r="A15">
        <v>12</v>
      </c>
      <c r="B15">
        <v>114</v>
      </c>
      <c r="G15" t="s">
        <v>188</v>
      </c>
      <c r="H15">
        <v>1</v>
      </c>
      <c r="I15">
        <v>1</v>
      </c>
      <c r="K15">
        <v>4</v>
      </c>
      <c r="O15">
        <v>3</v>
      </c>
      <c r="P15">
        <v>3</v>
      </c>
      <c r="Q15">
        <v>1</v>
      </c>
      <c r="R15">
        <v>1</v>
      </c>
      <c r="S15">
        <v>1</v>
      </c>
      <c r="T15">
        <v>1</v>
      </c>
      <c r="X15">
        <v>1</v>
      </c>
      <c r="Y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11</v>
      </c>
      <c r="I16">
        <f t="shared" si="0"/>
        <v>11</v>
      </c>
      <c r="J16">
        <f t="shared" si="0"/>
        <v>5</v>
      </c>
      <c r="K16">
        <f t="shared" si="0"/>
        <v>60</v>
      </c>
      <c r="L16">
        <f t="shared" si="0"/>
        <v>11</v>
      </c>
      <c r="M16">
        <f t="shared" si="0"/>
        <v>11</v>
      </c>
      <c r="N16">
        <f t="shared" si="0"/>
        <v>4</v>
      </c>
      <c r="O16">
        <f t="shared" si="0"/>
        <v>28</v>
      </c>
      <c r="P16">
        <f t="shared" si="0"/>
        <v>20</v>
      </c>
      <c r="Q16">
        <f>SUM(Q4:Q15)</f>
        <v>20</v>
      </c>
      <c r="R16">
        <f>SUM(R4:R15)</f>
        <v>19</v>
      </c>
      <c r="S16">
        <f>SUM(S4:S15)</f>
        <v>8</v>
      </c>
      <c r="T16">
        <v>0</v>
      </c>
      <c r="U16">
        <f>SUM(U4:U15)</f>
        <v>2</v>
      </c>
      <c r="V16">
        <f>SUM(V4:V15)</f>
        <v>1</v>
      </c>
      <c r="W16">
        <f>SUM(W4:W15)</f>
        <v>0</v>
      </c>
      <c r="X16">
        <f>SUM(X4:X15)</f>
        <v>11</v>
      </c>
      <c r="Y16">
        <f>SUM(Y4:Y15)</f>
        <v>8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0.7142857142857143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0.41666666666666669</v>
      </c>
      <c r="O22">
        <f>MEDIAN(I54:I65)</f>
        <v>0</v>
      </c>
      <c r="P22">
        <f>MAX(I54:I65)</f>
        <v>2</v>
      </c>
      <c r="Q22">
        <f>_xlfn.STDEV.S(I54:I65)</f>
        <v>0.66855792342152143</v>
      </c>
      <c r="S22">
        <f>V16/U16</f>
        <v>0.5</v>
      </c>
      <c r="U22">
        <f>AA66/Y66</f>
        <v>0.5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1.6666666666666667</v>
      </c>
      <c r="J24">
        <f>MAX(A54:A65)</f>
        <v>4</v>
      </c>
      <c r="K24">
        <f>_xlfn.STDEV.S(A54:A65)</f>
        <v>1.4354811251305468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</v>
      </c>
      <c r="O25">
        <f>MEDIAN(K54:K65)</f>
        <v>4.5</v>
      </c>
      <c r="P25">
        <f>MAX(K54:K65)</f>
        <v>8</v>
      </c>
      <c r="Q25">
        <f>_xlfn.STDEV.S(K54:K65)</f>
        <v>1.6514456476895409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0.91666666666666663</v>
      </c>
      <c r="I26">
        <f>R16/Q16</f>
        <v>0.95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1.3333333333333333</v>
      </c>
      <c r="T27">
        <f>MAX(Y4:Y15)</f>
        <v>2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7.6923076923076927E-2</v>
      </c>
    </row>
    <row r="29" spans="1:66" x14ac:dyDescent="0.2">
      <c r="D29">
        <f>_xlfn.STDEV.S(A68:A79)</f>
        <v>0</v>
      </c>
      <c r="I29">
        <f>AVERAGE(C54:C65)</f>
        <v>1.5833333333333333</v>
      </c>
      <c r="J29">
        <f>MAX(C54:C65)</f>
        <v>5</v>
      </c>
      <c r="K29">
        <f>_xlfn.STDEV.S(C54:C65)</f>
        <v>1.8319554050414564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0.92307692307692313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0.91666666666666663</v>
      </c>
      <c r="J34">
        <f>MAX(E54:E65)</f>
        <v>6</v>
      </c>
      <c r="K34">
        <f>_xlfn.STDEV.S(E54:E65)</f>
        <v>1.9752253419585197</v>
      </c>
      <c r="L34">
        <f>AVERAGE(K68:K79)</f>
        <v>1.25</v>
      </c>
      <c r="M34">
        <f>MAX(K68:K79)</f>
        <v>4</v>
      </c>
      <c r="N34">
        <f>_xlfn.STDEV.S(K68:K79)</f>
        <v>1.8929694486000912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0.33333333333333331</v>
      </c>
      <c r="J37">
        <f>MAX(G54:G65)</f>
        <v>2</v>
      </c>
      <c r="K37">
        <f>_xlfn.STDEV.S(G54:G65)</f>
        <v>0.6513389472789296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2</v>
      </c>
      <c r="I54">
        <f t="shared" ref="I54:I65" si="5">IF(ISBLANK(B4),"",J4)</f>
        <v>0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0</v>
      </c>
      <c r="E55">
        <f t="shared" si="3"/>
        <v>0</v>
      </c>
      <c r="G55">
        <f t="shared" si="4"/>
        <v>1</v>
      </c>
      <c r="I55">
        <f t="shared" si="5"/>
        <v>1</v>
      </c>
      <c r="K55">
        <f t="shared" si="6"/>
        <v>3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1</v>
      </c>
      <c r="C56">
        <f t="shared" si="2"/>
        <v>5</v>
      </c>
      <c r="E56">
        <f t="shared" si="3"/>
        <v>1</v>
      </c>
      <c r="G56">
        <f t="shared" si="4"/>
        <v>0</v>
      </c>
      <c r="I56">
        <f t="shared" si="5"/>
        <v>0</v>
      </c>
      <c r="K56">
        <f t="shared" si="6"/>
        <v>7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2</v>
      </c>
      <c r="E57">
        <f t="shared" si="3"/>
        <v>4</v>
      </c>
      <c r="G57">
        <f t="shared" si="4"/>
        <v>0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0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2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4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5</v>
      </c>
      <c r="E60">
        <f t="shared" si="3"/>
        <v>0</v>
      </c>
      <c r="G60">
        <f t="shared" si="4"/>
        <v>0</v>
      </c>
      <c r="I60">
        <f t="shared" si="5"/>
        <v>1</v>
      </c>
      <c r="K60">
        <f t="shared" si="6"/>
        <v>5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5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6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1</v>
      </c>
      <c r="C63">
        <f t="shared" si="2"/>
        <v>2</v>
      </c>
      <c r="E63">
        <f t="shared" si="3"/>
        <v>0</v>
      </c>
      <c r="G63">
        <f t="shared" si="4"/>
        <v>1</v>
      </c>
      <c r="I63">
        <f t="shared" si="5"/>
        <v>2</v>
      </c>
      <c r="K63">
        <f t="shared" si="6"/>
        <v>3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3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3</v>
      </c>
      <c r="C65">
        <f t="shared" si="2"/>
        <v>1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1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10</v>
      </c>
      <c r="V66">
        <f>SUM(V54:V65)</f>
        <v>10</v>
      </c>
      <c r="Y66">
        <f>SUM(Y54:Y65)</f>
        <v>2</v>
      </c>
      <c r="AA66">
        <f>SUM(AA54:AA65)</f>
        <v>1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2</v>
      </c>
      <c r="G68">
        <f>AVERAGE(E68:E79)</f>
        <v>5.083333333333333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4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8</v>
      </c>
      <c r="I70">
        <f t="shared" si="22"/>
        <v>1</v>
      </c>
      <c r="K70">
        <f t="shared" si="23"/>
        <v>1</v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8</v>
      </c>
      <c r="I71">
        <f t="shared" si="22"/>
        <v>4</v>
      </c>
      <c r="K71">
        <f t="shared" si="23"/>
        <v>4</v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5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3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6</v>
      </c>
      <c r="I74">
        <f t="shared" si="22"/>
        <v>0</v>
      </c>
      <c r="K74">
        <f t="shared" si="23"/>
        <v>0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4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5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5</v>
      </c>
      <c r="K80">
        <f>SUM(K68:K79)</f>
        <v>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BN94"/>
  <sheetViews>
    <sheetView workbookViewId="0">
      <selection activeCell="D10" sqref="D10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D4" t="s">
        <v>185</v>
      </c>
      <c r="E4">
        <v>2</v>
      </c>
      <c r="F4">
        <v>1</v>
      </c>
      <c r="K4">
        <v>10</v>
      </c>
      <c r="L4">
        <v>8</v>
      </c>
      <c r="M4">
        <v>8</v>
      </c>
      <c r="O4">
        <v>3</v>
      </c>
      <c r="P4">
        <v>3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13</v>
      </c>
      <c r="C5">
        <v>1</v>
      </c>
      <c r="D5" t="s">
        <v>185</v>
      </c>
      <c r="E5">
        <v>1</v>
      </c>
      <c r="F5">
        <v>1</v>
      </c>
      <c r="K5">
        <v>8</v>
      </c>
      <c r="N5">
        <v>2</v>
      </c>
      <c r="O5">
        <v>5</v>
      </c>
      <c r="P5">
        <v>5</v>
      </c>
      <c r="Q5">
        <v>1</v>
      </c>
      <c r="R5">
        <v>1</v>
      </c>
      <c r="X5">
        <v>1</v>
      </c>
    </row>
    <row r="6" spans="1:66" x14ac:dyDescent="0.2">
      <c r="A6">
        <v>3</v>
      </c>
      <c r="B6">
        <v>24</v>
      </c>
      <c r="D6" t="s">
        <v>188</v>
      </c>
      <c r="E6">
        <v>1</v>
      </c>
      <c r="F6">
        <v>1</v>
      </c>
      <c r="K6">
        <v>9</v>
      </c>
      <c r="O6">
        <v>8</v>
      </c>
      <c r="P6">
        <v>5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36</v>
      </c>
      <c r="C7">
        <v>1</v>
      </c>
      <c r="D7" t="s">
        <v>188</v>
      </c>
      <c r="E7">
        <v>1</v>
      </c>
      <c r="J7">
        <v>1</v>
      </c>
      <c r="K7">
        <v>5</v>
      </c>
      <c r="O7">
        <v>4</v>
      </c>
      <c r="P7">
        <v>4</v>
      </c>
      <c r="Q7">
        <v>2</v>
      </c>
      <c r="R7">
        <v>1</v>
      </c>
      <c r="X7">
        <v>1</v>
      </c>
    </row>
    <row r="8" spans="1:66" x14ac:dyDescent="0.2">
      <c r="A8">
        <v>5</v>
      </c>
      <c r="B8">
        <v>42</v>
      </c>
      <c r="D8" t="s">
        <v>185</v>
      </c>
      <c r="E8">
        <v>2</v>
      </c>
      <c r="F8">
        <v>2</v>
      </c>
      <c r="J8">
        <v>1</v>
      </c>
      <c r="K8">
        <v>7</v>
      </c>
      <c r="N8">
        <v>2</v>
      </c>
      <c r="O8">
        <v>5</v>
      </c>
      <c r="P8">
        <v>4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51</v>
      </c>
      <c r="G9" t="s">
        <v>188</v>
      </c>
      <c r="H9">
        <v>2</v>
      </c>
      <c r="I9">
        <v>2</v>
      </c>
      <c r="K9">
        <v>8</v>
      </c>
      <c r="L9">
        <v>4</v>
      </c>
      <c r="M9">
        <v>4</v>
      </c>
      <c r="O9">
        <v>4</v>
      </c>
      <c r="P9">
        <v>3</v>
      </c>
      <c r="X9">
        <v>1</v>
      </c>
    </row>
    <row r="10" spans="1:66" x14ac:dyDescent="0.2">
      <c r="A10">
        <v>7</v>
      </c>
      <c r="B10">
        <v>64</v>
      </c>
      <c r="C10">
        <v>1</v>
      </c>
      <c r="D10" t="s">
        <v>185</v>
      </c>
      <c r="E10">
        <v>2</v>
      </c>
      <c r="F10">
        <v>2</v>
      </c>
      <c r="J10">
        <v>4</v>
      </c>
      <c r="K10">
        <v>4</v>
      </c>
      <c r="N10">
        <v>4</v>
      </c>
      <c r="O10">
        <v>5</v>
      </c>
      <c r="P10">
        <v>3</v>
      </c>
      <c r="X10">
        <v>1</v>
      </c>
    </row>
    <row r="11" spans="1:66" x14ac:dyDescent="0.2">
      <c r="A11">
        <v>8</v>
      </c>
      <c r="B11">
        <v>74</v>
      </c>
      <c r="D11" t="s">
        <v>188</v>
      </c>
      <c r="E11">
        <v>1</v>
      </c>
      <c r="F11">
        <v>1</v>
      </c>
      <c r="G11" t="s">
        <v>188</v>
      </c>
      <c r="H11">
        <v>1</v>
      </c>
      <c r="I11">
        <v>1</v>
      </c>
      <c r="J11">
        <v>2</v>
      </c>
      <c r="K11">
        <v>7</v>
      </c>
      <c r="L11">
        <v>7</v>
      </c>
      <c r="M11">
        <v>7</v>
      </c>
      <c r="N11">
        <v>2</v>
      </c>
      <c r="O11">
        <v>1</v>
      </c>
      <c r="P11">
        <v>1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90</v>
      </c>
      <c r="C12">
        <v>1</v>
      </c>
      <c r="D12" t="s">
        <v>185</v>
      </c>
      <c r="E12">
        <v>1</v>
      </c>
      <c r="F12">
        <v>1</v>
      </c>
      <c r="G12" t="s">
        <v>185</v>
      </c>
      <c r="H12">
        <v>1</v>
      </c>
      <c r="I12">
        <v>1</v>
      </c>
      <c r="K12">
        <v>2</v>
      </c>
      <c r="L12">
        <v>3</v>
      </c>
      <c r="M12">
        <v>3</v>
      </c>
    </row>
    <row r="13" spans="1:66" x14ac:dyDescent="0.2">
      <c r="A13">
        <v>10</v>
      </c>
      <c r="B13">
        <v>97</v>
      </c>
      <c r="D13" t="s">
        <v>185</v>
      </c>
      <c r="E13">
        <v>2</v>
      </c>
      <c r="F13">
        <v>2</v>
      </c>
      <c r="J13">
        <v>5</v>
      </c>
      <c r="K13">
        <v>2</v>
      </c>
      <c r="N13">
        <v>4</v>
      </c>
      <c r="O13">
        <v>3</v>
      </c>
      <c r="P13">
        <v>3</v>
      </c>
      <c r="X13">
        <v>1</v>
      </c>
    </row>
    <row r="14" spans="1:66" x14ac:dyDescent="0.2">
      <c r="A14">
        <v>11</v>
      </c>
      <c r="B14">
        <v>109</v>
      </c>
      <c r="G14" t="s">
        <v>185</v>
      </c>
      <c r="H14">
        <v>1</v>
      </c>
      <c r="I14">
        <v>1</v>
      </c>
      <c r="J14">
        <v>7</v>
      </c>
      <c r="K14">
        <v>1</v>
      </c>
      <c r="N14">
        <v>7</v>
      </c>
      <c r="O14">
        <v>1</v>
      </c>
      <c r="X14">
        <v>1</v>
      </c>
    </row>
    <row r="15" spans="1:66" x14ac:dyDescent="0.2">
      <c r="A15">
        <v>12</v>
      </c>
      <c r="B15">
        <v>120</v>
      </c>
      <c r="D15" t="s">
        <v>188</v>
      </c>
      <c r="E15">
        <v>1</v>
      </c>
      <c r="F15">
        <v>1</v>
      </c>
      <c r="K15">
        <v>7</v>
      </c>
      <c r="O15">
        <v>6</v>
      </c>
      <c r="P15">
        <v>4</v>
      </c>
      <c r="Q15">
        <v>1</v>
      </c>
      <c r="R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14</v>
      </c>
      <c r="F16">
        <f>SUM(F4:F15)</f>
        <v>12</v>
      </c>
      <c r="H16">
        <f t="shared" ref="H16:P16" si="0">SUM(H4:H15)</f>
        <v>5</v>
      </c>
      <c r="I16">
        <f t="shared" si="0"/>
        <v>5</v>
      </c>
      <c r="J16">
        <f t="shared" si="0"/>
        <v>20</v>
      </c>
      <c r="K16">
        <f t="shared" si="0"/>
        <v>70</v>
      </c>
      <c r="L16">
        <f t="shared" si="0"/>
        <v>22</v>
      </c>
      <c r="M16">
        <f t="shared" si="0"/>
        <v>22</v>
      </c>
      <c r="N16">
        <f t="shared" si="0"/>
        <v>21</v>
      </c>
      <c r="O16">
        <f t="shared" si="0"/>
        <v>45</v>
      </c>
      <c r="P16">
        <f t="shared" si="0"/>
        <v>35</v>
      </c>
      <c r="Q16">
        <f>SUM(Q4:Q15)</f>
        <v>4</v>
      </c>
      <c r="R16">
        <f>SUM(R4:R15)</f>
        <v>3</v>
      </c>
      <c r="S16">
        <f>SUM(S4:S15)</f>
        <v>4</v>
      </c>
      <c r="T16">
        <v>0</v>
      </c>
      <c r="U16">
        <f>SUM(U4:U15)</f>
        <v>0</v>
      </c>
      <c r="V16">
        <f>SUM(V4:V15)</f>
        <v>0</v>
      </c>
      <c r="W16">
        <f>SUM(W4:W15)</f>
        <v>0</v>
      </c>
      <c r="X16">
        <f>SUM(X4:X15)</f>
        <v>11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0.9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0.77777777777777779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0.9</v>
      </c>
      <c r="F22">
        <f>T66/S66</f>
        <v>1</v>
      </c>
      <c r="I22" t="s">
        <v>23</v>
      </c>
      <c r="N22">
        <f>AVERAGE(I54:I65)</f>
        <v>1.6666666666666667</v>
      </c>
      <c r="O22">
        <f>MEDIAN(I54:I65)</f>
        <v>0.5</v>
      </c>
      <c r="P22">
        <f>MAX(I54:I65)</f>
        <v>7</v>
      </c>
      <c r="Q22">
        <f>_xlfn.STDEV.S(I54:I65)</f>
        <v>2.3868325657594203</v>
      </c>
      <c r="S22" t="e">
        <f>V16/U16</f>
        <v>#DIV/0!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0.75</v>
      </c>
      <c r="F24">
        <f>V66/U66</f>
        <v>1</v>
      </c>
      <c r="I24">
        <f>AVERAGE(A54:A65)</f>
        <v>2.9166666666666665</v>
      </c>
      <c r="J24">
        <f>MAX(A54:A65)</f>
        <v>5</v>
      </c>
      <c r="K24">
        <f>_xlfn.STDEV.S(A54:A65)</f>
        <v>1.7298624923456323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5.833333333333333</v>
      </c>
      <c r="O25">
        <f>MEDIAN(K54:K65)</f>
        <v>7</v>
      </c>
      <c r="P25">
        <f>MAX(K54:K65)</f>
        <v>10</v>
      </c>
      <c r="Q25">
        <f>_xlfn.STDEV.S(K54:K65)</f>
        <v>2.9797294975866317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1</v>
      </c>
      <c r="F26">
        <f>I16/A19</f>
        <v>0.41666666666666669</v>
      </c>
      <c r="I26">
        <f>R16/Q16</f>
        <v>0.75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0.22222222222222221</v>
      </c>
    </row>
    <row r="29" spans="1:66" x14ac:dyDescent="0.2">
      <c r="D29">
        <f>_xlfn.STDEV.S(A68:A79)</f>
        <v>0.5</v>
      </c>
      <c r="I29">
        <f>AVERAGE(C54:C65)</f>
        <v>0.25</v>
      </c>
      <c r="J29">
        <f>MAX(C54:C65)</f>
        <v>1</v>
      </c>
      <c r="K29">
        <f>_xlfn.STDEV.S(C54:C65)</f>
        <v>0.45226701686664544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0.77777777777777779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>
        <f>D94/B94</f>
        <v>0.875</v>
      </c>
      <c r="F32">
        <f>H94/F94</f>
        <v>1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1.8333333333333333</v>
      </c>
      <c r="J34">
        <f>MAX(E54:E65)</f>
        <v>8</v>
      </c>
      <c r="K34">
        <f>_xlfn.STDEV.S(E54:E65)</f>
        <v>2.9797294975866313</v>
      </c>
      <c r="L34">
        <f>AVERAGE(K68:K79)</f>
        <v>0.75</v>
      </c>
      <c r="M34">
        <f>MAX(K68:K79)</f>
        <v>3</v>
      </c>
      <c r="N34">
        <f>_xlfn.STDEV.S(K68:K79)</f>
        <v>1.5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1.75</v>
      </c>
      <c r="J37">
        <f>MAX(G54:G65)</f>
        <v>7</v>
      </c>
      <c r="K37">
        <f>_xlfn.STDEV.S(G54:G65)</f>
        <v>2.2613350843332269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8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10</v>
      </c>
      <c r="N54">
        <f t="shared" ref="N54:N65" si="7">IF($D4="d", $E4, "")</f>
        <v>2</v>
      </c>
      <c r="O54">
        <f t="shared" ref="O54:O65" si="8">IF($D4="d", $F4, "")</f>
        <v>1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5</v>
      </c>
      <c r="C55">
        <f t="shared" si="2"/>
        <v>1</v>
      </c>
      <c r="E55">
        <f t="shared" si="3"/>
        <v>0</v>
      </c>
      <c r="G55">
        <f t="shared" si="4"/>
        <v>2</v>
      </c>
      <c r="I55">
        <f t="shared" si="5"/>
        <v>0</v>
      </c>
      <c r="K55">
        <f t="shared" si="6"/>
        <v>8</v>
      </c>
      <c r="N55">
        <f t="shared" si="7"/>
        <v>1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5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9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1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1</v>
      </c>
      <c r="E57">
        <f t="shared" si="3"/>
        <v>0</v>
      </c>
      <c r="G57">
        <f t="shared" si="4"/>
        <v>0</v>
      </c>
      <c r="I57">
        <f t="shared" si="5"/>
        <v>1</v>
      </c>
      <c r="K57">
        <f t="shared" si="6"/>
        <v>5</v>
      </c>
      <c r="N57" t="str">
        <f t="shared" si="7"/>
        <v/>
      </c>
      <c r="O57" t="str">
        <f t="shared" si="8"/>
        <v/>
      </c>
      <c r="P57">
        <f t="shared" si="9"/>
        <v>1</v>
      </c>
      <c r="Q57">
        <f t="shared" si="10"/>
        <v>0</v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2</v>
      </c>
      <c r="I58">
        <f t="shared" si="5"/>
        <v>1</v>
      </c>
      <c r="K58">
        <f t="shared" si="6"/>
        <v>7</v>
      </c>
      <c r="N58">
        <f t="shared" si="7"/>
        <v>2</v>
      </c>
      <c r="O58">
        <f t="shared" si="8"/>
        <v>2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0</v>
      </c>
      <c r="E59">
        <f t="shared" si="3"/>
        <v>4</v>
      </c>
      <c r="G59">
        <f t="shared" si="4"/>
        <v>0</v>
      </c>
      <c r="I59">
        <f t="shared" si="5"/>
        <v>0</v>
      </c>
      <c r="K59">
        <f t="shared" si="6"/>
        <v>8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2</v>
      </c>
      <c r="V59">
        <f t="shared" si="14"/>
        <v>2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0</v>
      </c>
      <c r="G60">
        <f t="shared" si="4"/>
        <v>4</v>
      </c>
      <c r="I60">
        <f t="shared" si="5"/>
        <v>4</v>
      </c>
      <c r="K60">
        <f t="shared" si="6"/>
        <v>4</v>
      </c>
      <c r="N60">
        <f t="shared" si="7"/>
        <v>2</v>
      </c>
      <c r="O60">
        <f t="shared" si="8"/>
        <v>2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0</v>
      </c>
      <c r="E61">
        <f t="shared" si="3"/>
        <v>7</v>
      </c>
      <c r="G61">
        <f t="shared" si="4"/>
        <v>2</v>
      </c>
      <c r="I61">
        <f t="shared" si="5"/>
        <v>2</v>
      </c>
      <c r="K61">
        <f t="shared" si="6"/>
        <v>7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3</v>
      </c>
      <c r="G62">
        <f t="shared" si="4"/>
        <v>0</v>
      </c>
      <c r="I62">
        <f t="shared" si="5"/>
        <v>0</v>
      </c>
      <c r="K62">
        <f t="shared" si="6"/>
        <v>2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4</v>
      </c>
      <c r="I63">
        <f t="shared" si="5"/>
        <v>5</v>
      </c>
      <c r="K63">
        <f t="shared" si="6"/>
        <v>2</v>
      </c>
      <c r="N63">
        <f t="shared" si="7"/>
        <v>2</v>
      </c>
      <c r="O63">
        <f t="shared" si="8"/>
        <v>2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0</v>
      </c>
      <c r="G64">
        <f t="shared" si="4"/>
        <v>7</v>
      </c>
      <c r="I64">
        <f t="shared" si="5"/>
        <v>7</v>
      </c>
      <c r="K64">
        <f t="shared" si="6"/>
        <v>1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1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7</v>
      </c>
      <c r="N65" t="str">
        <f t="shared" si="7"/>
        <v/>
      </c>
      <c r="O65" t="str">
        <f t="shared" si="8"/>
        <v/>
      </c>
      <c r="P65">
        <f t="shared" si="9"/>
        <v>1</v>
      </c>
      <c r="Q65">
        <f t="shared" si="10"/>
        <v>1</v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10</v>
      </c>
      <c r="O66">
        <f>SUM(O54:O65)</f>
        <v>9</v>
      </c>
      <c r="P66">
        <f>SUM(P54:P65)</f>
        <v>4</v>
      </c>
      <c r="Q66">
        <f>SUM(Q54:Q65)</f>
        <v>3</v>
      </c>
      <c r="S66">
        <f>SUM(S54:S65)</f>
        <v>2</v>
      </c>
      <c r="T66">
        <f>SUM(T54:T65)</f>
        <v>2</v>
      </c>
      <c r="U66">
        <f>SUM(U54:U65)</f>
        <v>3</v>
      </c>
      <c r="V66">
        <f>SUM(V54:V65)</f>
        <v>3</v>
      </c>
      <c r="Y66">
        <f>SUM(Y54:Y65)</f>
        <v>0</v>
      </c>
      <c r="AA66">
        <f>SUM(AA54:AA65)</f>
        <v>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12</v>
      </c>
      <c r="G68">
        <f>AVERAGE(E68:E79)</f>
        <v>6.416666666666667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7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6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5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2</v>
      </c>
      <c r="C73">
        <f t="shared" si="20"/>
        <v>0</v>
      </c>
      <c r="E73">
        <f t="shared" si="21"/>
        <v>9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5</v>
      </c>
      <c r="I74">
        <f t="shared" si="22"/>
        <v>0</v>
      </c>
      <c r="K74">
        <f t="shared" si="23"/>
        <v>0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10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5</v>
      </c>
      <c r="I76">
        <f t="shared" si="22"/>
        <v>3</v>
      </c>
      <c r="K76">
        <f t="shared" si="23"/>
        <v>3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1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6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3</v>
      </c>
      <c r="K80">
        <f>SUM(K68:K79)</f>
        <v>3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>
        <f>IF(E4 &gt;= 2, 2, "")</f>
        <v>2</v>
      </c>
      <c r="D82">
        <f>IF(E4 &gt;= 2, IF(F4 &gt; 2, 2, F4), "")</f>
        <v>1</v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>
        <f t="shared" si="24"/>
        <v>2</v>
      </c>
      <c r="D86">
        <f t="shared" si="25"/>
        <v>2</v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>
        <f t="shared" si="26"/>
        <v>2</v>
      </c>
      <c r="H87">
        <f t="shared" si="27"/>
        <v>2</v>
      </c>
    </row>
    <row r="88" spans="1:8" x14ac:dyDescent="0.2">
      <c r="B88">
        <f t="shared" si="24"/>
        <v>2</v>
      </c>
      <c r="D88">
        <f t="shared" si="25"/>
        <v>2</v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>
        <f t="shared" si="24"/>
        <v>2</v>
      </c>
      <c r="D91">
        <f t="shared" si="25"/>
        <v>2</v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8</v>
      </c>
      <c r="D94">
        <f>SUM(D82:D93)</f>
        <v>7</v>
      </c>
      <c r="F94">
        <f>SUM(F82:F93)</f>
        <v>2</v>
      </c>
      <c r="H94">
        <f>SUM(H82:H93)</f>
        <v>2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BN94"/>
  <sheetViews>
    <sheetView workbookViewId="0">
      <selection activeCell="E7" sqref="E7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G4" t="s">
        <v>185</v>
      </c>
      <c r="H4">
        <v>1</v>
      </c>
      <c r="K4">
        <v>8</v>
      </c>
      <c r="L4">
        <v>6</v>
      </c>
      <c r="M4">
        <v>6</v>
      </c>
      <c r="O4">
        <v>1</v>
      </c>
      <c r="P4">
        <v>1</v>
      </c>
      <c r="Q4">
        <v>2</v>
      </c>
      <c r="R4">
        <v>2</v>
      </c>
      <c r="X4">
        <v>1</v>
      </c>
    </row>
    <row r="5" spans="1:66" x14ac:dyDescent="0.2">
      <c r="A5">
        <v>2</v>
      </c>
      <c r="B5">
        <v>19</v>
      </c>
      <c r="K5">
        <v>10</v>
      </c>
      <c r="L5">
        <v>5</v>
      </c>
      <c r="M5">
        <v>5</v>
      </c>
      <c r="O5">
        <v>3</v>
      </c>
      <c r="P5">
        <v>2</v>
      </c>
      <c r="Q5">
        <v>2</v>
      </c>
      <c r="R5">
        <v>2</v>
      </c>
      <c r="S5">
        <v>1</v>
      </c>
      <c r="X5">
        <v>1</v>
      </c>
    </row>
    <row r="6" spans="1:66" x14ac:dyDescent="0.2">
      <c r="A6">
        <v>3</v>
      </c>
      <c r="B6">
        <v>26</v>
      </c>
      <c r="C6">
        <v>1</v>
      </c>
      <c r="J6">
        <v>1</v>
      </c>
      <c r="K6">
        <v>3</v>
      </c>
      <c r="O6">
        <v>4</v>
      </c>
      <c r="P6">
        <v>4</v>
      </c>
      <c r="Q6">
        <v>1</v>
      </c>
      <c r="R6">
        <v>1</v>
      </c>
      <c r="X6">
        <v>1</v>
      </c>
    </row>
    <row r="7" spans="1:66" x14ac:dyDescent="0.2">
      <c r="A7">
        <v>4</v>
      </c>
      <c r="B7">
        <v>34</v>
      </c>
      <c r="C7">
        <v>1</v>
      </c>
      <c r="X7">
        <v>1</v>
      </c>
    </row>
    <row r="8" spans="1:66" x14ac:dyDescent="0.2">
      <c r="A8">
        <v>5</v>
      </c>
      <c r="B8">
        <v>41</v>
      </c>
      <c r="C8">
        <v>1</v>
      </c>
      <c r="K8">
        <v>7</v>
      </c>
      <c r="O8">
        <v>7</v>
      </c>
      <c r="P8">
        <v>4</v>
      </c>
      <c r="X8">
        <v>1</v>
      </c>
    </row>
    <row r="9" spans="1:66" x14ac:dyDescent="0.2">
      <c r="A9">
        <v>6</v>
      </c>
      <c r="B9">
        <v>59</v>
      </c>
      <c r="J9">
        <v>5</v>
      </c>
      <c r="K9">
        <v>1</v>
      </c>
      <c r="N9">
        <v>6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69</v>
      </c>
      <c r="C10">
        <v>1</v>
      </c>
      <c r="K10">
        <v>6</v>
      </c>
      <c r="O10">
        <v>6</v>
      </c>
      <c r="P10">
        <v>4</v>
      </c>
      <c r="X10">
        <v>1</v>
      </c>
    </row>
    <row r="11" spans="1:66" x14ac:dyDescent="0.2">
      <c r="A11">
        <v>8</v>
      </c>
      <c r="B11">
        <v>78</v>
      </c>
      <c r="G11" t="s">
        <v>185</v>
      </c>
      <c r="H11">
        <v>1</v>
      </c>
      <c r="J11">
        <v>1</v>
      </c>
      <c r="K11">
        <v>2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84</v>
      </c>
      <c r="J12">
        <v>4</v>
      </c>
      <c r="K12">
        <v>8</v>
      </c>
      <c r="N12">
        <v>1</v>
      </c>
      <c r="O12">
        <v>11</v>
      </c>
      <c r="P12">
        <v>6</v>
      </c>
      <c r="X12">
        <v>1</v>
      </c>
    </row>
    <row r="13" spans="1:66" x14ac:dyDescent="0.2">
      <c r="A13">
        <v>10</v>
      </c>
      <c r="B13">
        <v>94</v>
      </c>
      <c r="J13">
        <v>5</v>
      </c>
      <c r="K13">
        <v>2</v>
      </c>
      <c r="N13">
        <v>4</v>
      </c>
      <c r="O13">
        <v>1</v>
      </c>
      <c r="P13">
        <v>1</v>
      </c>
      <c r="Q13">
        <v>3</v>
      </c>
      <c r="R13">
        <v>3</v>
      </c>
      <c r="X13">
        <v>1</v>
      </c>
    </row>
    <row r="14" spans="1:66" x14ac:dyDescent="0.2">
      <c r="A14">
        <v>11</v>
      </c>
      <c r="B14">
        <v>103</v>
      </c>
      <c r="J14">
        <v>3</v>
      </c>
      <c r="K14">
        <v>5</v>
      </c>
      <c r="N14">
        <v>5</v>
      </c>
      <c r="O14">
        <v>3</v>
      </c>
      <c r="P14">
        <v>2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112</v>
      </c>
      <c r="K15">
        <v>9</v>
      </c>
      <c r="L15">
        <v>3</v>
      </c>
      <c r="M15">
        <v>3</v>
      </c>
      <c r="O15">
        <v>5</v>
      </c>
      <c r="P15">
        <v>5</v>
      </c>
      <c r="Q15">
        <v>2</v>
      </c>
      <c r="R15">
        <v>2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2</v>
      </c>
      <c r="I16">
        <f t="shared" si="0"/>
        <v>0</v>
      </c>
      <c r="J16">
        <f t="shared" si="0"/>
        <v>19</v>
      </c>
      <c r="K16">
        <f t="shared" si="0"/>
        <v>61</v>
      </c>
      <c r="L16">
        <f t="shared" si="0"/>
        <v>14</v>
      </c>
      <c r="M16">
        <f t="shared" si="0"/>
        <v>14</v>
      </c>
      <c r="N16">
        <f t="shared" si="0"/>
        <v>16</v>
      </c>
      <c r="O16">
        <f t="shared" si="0"/>
        <v>42</v>
      </c>
      <c r="P16">
        <f t="shared" si="0"/>
        <v>30</v>
      </c>
      <c r="Q16">
        <f>SUM(Q4:Q15)</f>
        <v>11</v>
      </c>
      <c r="R16">
        <f>SUM(R4:R15)</f>
        <v>11</v>
      </c>
      <c r="S16">
        <f>SUM(S4:S15)</f>
        <v>4</v>
      </c>
      <c r="T16">
        <v>0</v>
      </c>
      <c r="U16">
        <f>SUM(U4:U15)</f>
        <v>0</v>
      </c>
      <c r="V16">
        <f>SUM(V4:V15)</f>
        <v>0</v>
      </c>
      <c r="W16">
        <f>SUM(W4:W15)</f>
        <v>0</v>
      </c>
      <c r="X16">
        <f>SUM(X4:X15)</f>
        <v>12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0.7142857142857143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</v>
      </c>
      <c r="I22" t="s">
        <v>23</v>
      </c>
      <c r="N22">
        <f>AVERAGE(I54:I65)</f>
        <v>1.5833333333333333</v>
      </c>
      <c r="O22">
        <f>MEDIAN(I54:I65)</f>
        <v>0.5</v>
      </c>
      <c r="P22">
        <f>MAX(I54:I65)</f>
        <v>5</v>
      </c>
      <c r="Q22">
        <f>_xlfn.STDEV.S(I54:I65)</f>
        <v>2.0652243256245835</v>
      </c>
      <c r="S22" t="e">
        <f>V16/U16</f>
        <v>#DIV/0!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2.5</v>
      </c>
      <c r="J24">
        <f>MAX(A54:A65)</f>
        <v>6</v>
      </c>
      <c r="K24">
        <f>_xlfn.STDEV.S(A54:A65)</f>
        <v>2.0225995873897262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5.083333333333333</v>
      </c>
      <c r="O25">
        <f>MEDIAN(K54:K65)</f>
        <v>5.5</v>
      </c>
      <c r="P25">
        <f>MAX(K54:K65)</f>
        <v>10</v>
      </c>
      <c r="Q25">
        <f>_xlfn.STDEV.S(K54:K65)</f>
        <v>3.3967453227875044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0.23749999999999999</v>
      </c>
    </row>
    <row r="29" spans="1:66" x14ac:dyDescent="0.2">
      <c r="D29">
        <f>_xlfn.STDEV.S(A68:A79)</f>
        <v>0</v>
      </c>
      <c r="I29">
        <f>AVERAGE(C54:C65)</f>
        <v>0.91666666666666663</v>
      </c>
      <c r="J29">
        <f>MAX(C54:C65)</f>
        <v>3</v>
      </c>
      <c r="K29">
        <f>_xlfn.STDEV.S(C54:C65)</f>
        <v>1.0836246694508316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0.76249999999999996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1.1666666666666667</v>
      </c>
      <c r="J34">
        <f>MAX(E54:E65)</f>
        <v>6</v>
      </c>
      <c r="K34">
        <f>_xlfn.STDEV.S(E54:E65)</f>
        <v>2.2087978356535665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1.3333333333333333</v>
      </c>
      <c r="J37">
        <f>MAX(G54:G65)</f>
        <v>6</v>
      </c>
      <c r="K37">
        <f>_xlfn.STDEV.S(G54:G65)</f>
        <v>2.2696949467968492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2</v>
      </c>
      <c r="E54">
        <f t="shared" ref="E54:E65" si="3">IF(ISBLANK(B4),"",M4)</f>
        <v>6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8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0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2</v>
      </c>
      <c r="E55">
        <f t="shared" si="3"/>
        <v>5</v>
      </c>
      <c r="G55">
        <f t="shared" si="4"/>
        <v>0</v>
      </c>
      <c r="I55">
        <f t="shared" si="5"/>
        <v>0</v>
      </c>
      <c r="K55">
        <f t="shared" si="6"/>
        <v>10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7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0</v>
      </c>
      <c r="G59">
        <f t="shared" si="4"/>
        <v>6</v>
      </c>
      <c r="I59">
        <f t="shared" si="5"/>
        <v>5</v>
      </c>
      <c r="K59">
        <f t="shared" si="6"/>
        <v>1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4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1</v>
      </c>
      <c r="E61">
        <f t="shared" si="3"/>
        <v>0</v>
      </c>
      <c r="G61">
        <f t="shared" si="4"/>
        <v>0</v>
      </c>
      <c r="I61">
        <f t="shared" si="5"/>
        <v>1</v>
      </c>
      <c r="K61">
        <f t="shared" si="6"/>
        <v>2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0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6</v>
      </c>
      <c r="C62">
        <f t="shared" si="2"/>
        <v>0</v>
      </c>
      <c r="E62">
        <f t="shared" si="3"/>
        <v>0</v>
      </c>
      <c r="G62">
        <f t="shared" si="4"/>
        <v>1</v>
      </c>
      <c r="I62">
        <f t="shared" si="5"/>
        <v>4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1</v>
      </c>
      <c r="C63">
        <f t="shared" si="2"/>
        <v>3</v>
      </c>
      <c r="E63">
        <f t="shared" si="3"/>
        <v>0</v>
      </c>
      <c r="G63">
        <f t="shared" si="4"/>
        <v>4</v>
      </c>
      <c r="I63">
        <f t="shared" si="5"/>
        <v>5</v>
      </c>
      <c r="K63">
        <f t="shared" si="6"/>
        <v>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2</v>
      </c>
      <c r="C64">
        <f t="shared" si="2"/>
        <v>0</v>
      </c>
      <c r="E64">
        <f t="shared" si="3"/>
        <v>0</v>
      </c>
      <c r="G64">
        <f t="shared" si="4"/>
        <v>5</v>
      </c>
      <c r="I64">
        <f t="shared" si="5"/>
        <v>3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5</v>
      </c>
      <c r="C65">
        <f t="shared" si="2"/>
        <v>2</v>
      </c>
      <c r="E65">
        <f t="shared" si="3"/>
        <v>3</v>
      </c>
      <c r="G65">
        <f t="shared" si="4"/>
        <v>0</v>
      </c>
      <c r="I65">
        <f t="shared" si="5"/>
        <v>0</v>
      </c>
      <c r="K65">
        <f t="shared" si="6"/>
        <v>9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0</v>
      </c>
      <c r="U66">
        <f>SUM(U54:U65)</f>
        <v>0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9</v>
      </c>
      <c r="G68">
        <f>AVERAGE(E68:E79)</f>
        <v>4.583333333333333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9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0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4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0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4</v>
      </c>
      <c r="I74">
        <f t="shared" si="22"/>
        <v>0</v>
      </c>
      <c r="K74">
        <f t="shared" si="23"/>
        <v>0</v>
      </c>
    </row>
    <row r="75" spans="1:31" x14ac:dyDescent="0.2">
      <c r="A75">
        <f t="shared" si="19"/>
        <v>0</v>
      </c>
      <c r="C75">
        <f t="shared" si="20"/>
        <v>0</v>
      </c>
      <c r="E75">
        <f t="shared" si="21"/>
        <v>2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6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2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10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BN94"/>
  <sheetViews>
    <sheetView workbookViewId="0">
      <selection activeCell="A2" sqref="A2:Y15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J4">
        <v>1</v>
      </c>
      <c r="K4">
        <v>5</v>
      </c>
      <c r="O4">
        <v>7</v>
      </c>
      <c r="P4">
        <v>4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19</v>
      </c>
      <c r="C5">
        <v>1</v>
      </c>
      <c r="D5" t="s">
        <v>185</v>
      </c>
      <c r="E5">
        <v>1</v>
      </c>
      <c r="F5">
        <v>1</v>
      </c>
      <c r="K5">
        <v>5</v>
      </c>
      <c r="O5">
        <v>5</v>
      </c>
      <c r="P5">
        <v>5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30</v>
      </c>
      <c r="D6" t="s">
        <v>188</v>
      </c>
      <c r="E6">
        <v>1</v>
      </c>
      <c r="J6">
        <v>1</v>
      </c>
      <c r="K6">
        <v>4</v>
      </c>
      <c r="O6">
        <v>4</v>
      </c>
      <c r="P6">
        <v>4</v>
      </c>
      <c r="Q6">
        <v>1</v>
      </c>
      <c r="R6">
        <v>1</v>
      </c>
      <c r="X6">
        <v>1</v>
      </c>
    </row>
    <row r="7" spans="1:66" x14ac:dyDescent="0.2">
      <c r="A7">
        <v>4</v>
      </c>
      <c r="B7">
        <v>35</v>
      </c>
      <c r="D7" t="s">
        <v>185</v>
      </c>
      <c r="E7">
        <v>1</v>
      </c>
      <c r="F7">
        <v>1</v>
      </c>
      <c r="J7">
        <v>3</v>
      </c>
      <c r="K7">
        <v>4</v>
      </c>
      <c r="N7">
        <v>1</v>
      </c>
      <c r="O7">
        <v>5</v>
      </c>
      <c r="P7">
        <v>5</v>
      </c>
      <c r="Q7">
        <v>1</v>
      </c>
      <c r="R7">
        <v>1</v>
      </c>
      <c r="S7">
        <v>1</v>
      </c>
      <c r="T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45</v>
      </c>
      <c r="K8">
        <v>9</v>
      </c>
      <c r="L8">
        <v>2</v>
      </c>
      <c r="M8">
        <v>1</v>
      </c>
      <c r="O8">
        <v>5</v>
      </c>
      <c r="P8">
        <v>4</v>
      </c>
      <c r="Q8">
        <v>3</v>
      </c>
      <c r="R8">
        <v>3</v>
      </c>
      <c r="X8">
        <v>1</v>
      </c>
    </row>
    <row r="9" spans="1:66" x14ac:dyDescent="0.2">
      <c r="A9">
        <v>6</v>
      </c>
      <c r="B9">
        <v>54</v>
      </c>
      <c r="C9">
        <v>1</v>
      </c>
      <c r="K9">
        <v>5</v>
      </c>
      <c r="O9">
        <v>6</v>
      </c>
      <c r="P9">
        <v>6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63</v>
      </c>
      <c r="G10" t="s">
        <v>188</v>
      </c>
      <c r="H10">
        <v>1</v>
      </c>
      <c r="I10">
        <v>1</v>
      </c>
      <c r="J10">
        <v>3</v>
      </c>
      <c r="K10">
        <v>4</v>
      </c>
      <c r="N10">
        <v>3</v>
      </c>
      <c r="O10">
        <v>4</v>
      </c>
      <c r="P10">
        <v>3</v>
      </c>
      <c r="X10">
        <v>1</v>
      </c>
    </row>
    <row r="11" spans="1:66" x14ac:dyDescent="0.2">
      <c r="A11">
        <v>8</v>
      </c>
      <c r="B11">
        <v>76</v>
      </c>
      <c r="D11" t="s">
        <v>188</v>
      </c>
      <c r="E11">
        <v>1</v>
      </c>
      <c r="F11">
        <v>1</v>
      </c>
      <c r="J11">
        <v>3</v>
      </c>
      <c r="K11">
        <v>3</v>
      </c>
      <c r="O11">
        <v>6</v>
      </c>
      <c r="P11">
        <v>3</v>
      </c>
      <c r="X11">
        <v>1</v>
      </c>
    </row>
    <row r="12" spans="1:66" x14ac:dyDescent="0.2">
      <c r="A12">
        <v>9</v>
      </c>
      <c r="B12">
        <v>90</v>
      </c>
      <c r="C12">
        <v>1</v>
      </c>
      <c r="G12" t="s">
        <v>185</v>
      </c>
      <c r="H12">
        <v>1</v>
      </c>
      <c r="K12">
        <v>7</v>
      </c>
      <c r="N12">
        <v>1</v>
      </c>
      <c r="O12">
        <v>6</v>
      </c>
      <c r="P12">
        <v>6</v>
      </c>
      <c r="X12">
        <v>1</v>
      </c>
    </row>
    <row r="13" spans="1:66" x14ac:dyDescent="0.2">
      <c r="A13">
        <v>10</v>
      </c>
      <c r="B13">
        <v>100</v>
      </c>
      <c r="J13">
        <v>2</v>
      </c>
      <c r="K13">
        <v>3</v>
      </c>
      <c r="L13">
        <v>1</v>
      </c>
      <c r="M13">
        <v>1</v>
      </c>
      <c r="O13">
        <v>4</v>
      </c>
      <c r="P13">
        <v>4</v>
      </c>
      <c r="X13">
        <v>1</v>
      </c>
    </row>
    <row r="14" spans="1:66" x14ac:dyDescent="0.2">
      <c r="A14">
        <v>11</v>
      </c>
      <c r="B14">
        <v>106</v>
      </c>
      <c r="D14" t="s">
        <v>185</v>
      </c>
      <c r="E14">
        <v>2</v>
      </c>
      <c r="F14">
        <v>2</v>
      </c>
      <c r="K14">
        <v>8</v>
      </c>
      <c r="L14">
        <v>7</v>
      </c>
      <c r="M14">
        <v>7</v>
      </c>
      <c r="O14">
        <v>1</v>
      </c>
      <c r="P14">
        <v>1</v>
      </c>
      <c r="U14">
        <v>1</v>
      </c>
      <c r="V14">
        <v>1</v>
      </c>
      <c r="W14" t="s">
        <v>189</v>
      </c>
    </row>
    <row r="15" spans="1:66" x14ac:dyDescent="0.2">
      <c r="A15">
        <v>12</v>
      </c>
      <c r="B15">
        <v>120</v>
      </c>
      <c r="C15">
        <v>1</v>
      </c>
      <c r="D15" t="s">
        <v>185</v>
      </c>
      <c r="E15">
        <v>1</v>
      </c>
      <c r="J15">
        <v>1</v>
      </c>
      <c r="K15">
        <v>6</v>
      </c>
      <c r="O15">
        <v>7</v>
      </c>
      <c r="P15">
        <v>4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7</v>
      </c>
      <c r="F16">
        <f>SUM(F4:F15)</f>
        <v>5</v>
      </c>
      <c r="H16">
        <f t="shared" ref="H16:P16" si="0">SUM(H4:H15)</f>
        <v>2</v>
      </c>
      <c r="I16">
        <f t="shared" si="0"/>
        <v>1</v>
      </c>
      <c r="J16">
        <f t="shared" si="0"/>
        <v>14</v>
      </c>
      <c r="K16">
        <f t="shared" si="0"/>
        <v>63</v>
      </c>
      <c r="L16">
        <f t="shared" si="0"/>
        <v>10</v>
      </c>
      <c r="M16">
        <f t="shared" si="0"/>
        <v>9</v>
      </c>
      <c r="N16">
        <f t="shared" si="0"/>
        <v>5</v>
      </c>
      <c r="O16">
        <f t="shared" si="0"/>
        <v>60</v>
      </c>
      <c r="P16">
        <f t="shared" si="0"/>
        <v>49</v>
      </c>
      <c r="Q16">
        <f>SUM(Q4:Q15)</f>
        <v>5</v>
      </c>
      <c r="R16">
        <f>SUM(R4:R15)</f>
        <v>5</v>
      </c>
      <c r="S16">
        <f>SUM(S4:S15)</f>
        <v>2</v>
      </c>
      <c r="T16">
        <v>0</v>
      </c>
      <c r="U16">
        <f>SUM(U4:U15)</f>
        <v>5</v>
      </c>
      <c r="V16">
        <f>SUM(V4:V15)</f>
        <v>2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0.66666666666666663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0.81666666666666665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0.8</v>
      </c>
      <c r="F22">
        <f>T66/S66</f>
        <v>0</v>
      </c>
      <c r="I22" t="s">
        <v>23</v>
      </c>
      <c r="N22">
        <f>AVERAGE(I54:I65)</f>
        <v>1.1666666666666667</v>
      </c>
      <c r="O22">
        <f>MEDIAN(I54:I65)</f>
        <v>1</v>
      </c>
      <c r="P22">
        <f>MAX(I54:I65)</f>
        <v>3</v>
      </c>
      <c r="Q22">
        <f>_xlfn.STDEV.S(I54:I65)</f>
        <v>1.2673044646258476</v>
      </c>
      <c r="S22">
        <f>V16/U16</f>
        <v>0.4</v>
      </c>
      <c r="U22">
        <f>AA66/Y66</f>
        <v>0.25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0.5</v>
      </c>
      <c r="F24">
        <f>V66/U66</f>
        <v>1</v>
      </c>
      <c r="I24">
        <f>AVERAGE(A54:A65)</f>
        <v>4.083333333333333</v>
      </c>
      <c r="J24">
        <f>MAX(A54:A65)</f>
        <v>6</v>
      </c>
      <c r="K24">
        <f>_xlfn.STDEV.S(A54:A65)</f>
        <v>1.3789543689024488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0.16666666666666666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5.25</v>
      </c>
      <c r="O25">
        <f>MEDIAN(K54:K65)</f>
        <v>5</v>
      </c>
      <c r="P25">
        <f>MAX(K54:K65)</f>
        <v>9</v>
      </c>
      <c r="Q25">
        <f>_xlfn.STDEV.S(K54:K65)</f>
        <v>1.9128750375000738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0.41666666666666669</v>
      </c>
      <c r="F26">
        <f>I16/A19</f>
        <v>8.3333333333333329E-2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0.18181818181818182</v>
      </c>
    </row>
    <row r="29" spans="1:66" x14ac:dyDescent="0.2">
      <c r="D29">
        <f>_xlfn.STDEV.S(A68:A79)</f>
        <v>0.70710678118654757</v>
      </c>
      <c r="I29">
        <f>AVERAGE(C54:C65)</f>
        <v>0.41666666666666669</v>
      </c>
      <c r="J29">
        <f>MAX(C54:C65)</f>
        <v>3</v>
      </c>
      <c r="K29">
        <f>_xlfn.STDEV.S(C54:C65)</f>
        <v>0.90033663737851999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0.81818181818181823</v>
      </c>
      <c r="S30">
        <f>_xlfn.STDEV.S(C68:C79)</f>
        <v>0.38924947208076149</v>
      </c>
    </row>
    <row r="31" spans="1:66" x14ac:dyDescent="0.2">
      <c r="D31" t="s">
        <v>179</v>
      </c>
      <c r="F31" t="s">
        <v>180</v>
      </c>
      <c r="I31">
        <f>M16/L16</f>
        <v>0.9</v>
      </c>
      <c r="L31" t="e">
        <f>K80/I80</f>
        <v>#DIV/0!</v>
      </c>
    </row>
    <row r="32" spans="1:66" x14ac:dyDescent="0.2">
      <c r="D32">
        <f>D94/B94</f>
        <v>1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0.75</v>
      </c>
      <c r="J34">
        <f>MAX(E54:E65)</f>
        <v>7</v>
      </c>
      <c r="K34">
        <f>_xlfn.STDEV.S(E54:E65)</f>
        <v>2.0056737702645644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0.41666666666666669</v>
      </c>
      <c r="J37">
        <f>MAX(G54:G65)</f>
        <v>3</v>
      </c>
      <c r="K37">
        <f>_xlfn.STDEV.S(G54:G65)</f>
        <v>0.90033663737851999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5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>
        <f t="shared" si="7"/>
        <v>1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4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0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5</v>
      </c>
      <c r="C57">
        <f t="shared" si="2"/>
        <v>1</v>
      </c>
      <c r="E57">
        <f t="shared" si="3"/>
        <v>0</v>
      </c>
      <c r="G57">
        <f t="shared" si="4"/>
        <v>1</v>
      </c>
      <c r="I57">
        <f t="shared" si="5"/>
        <v>3</v>
      </c>
      <c r="K57">
        <f t="shared" si="6"/>
        <v>4</v>
      </c>
      <c r="N57">
        <f t="shared" si="7"/>
        <v>1</v>
      </c>
      <c r="O57">
        <f t="shared" si="8"/>
        <v>1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3</v>
      </c>
      <c r="E58">
        <f t="shared" si="3"/>
        <v>1</v>
      </c>
      <c r="G58">
        <f t="shared" si="4"/>
        <v>0</v>
      </c>
      <c r="I58">
        <f t="shared" si="5"/>
        <v>0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6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0</v>
      </c>
      <c r="G60">
        <f t="shared" si="4"/>
        <v>3</v>
      </c>
      <c r="I60">
        <f t="shared" si="5"/>
        <v>3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3</v>
      </c>
      <c r="K61">
        <f t="shared" si="6"/>
        <v>3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6</v>
      </c>
      <c r="C62">
        <f t="shared" si="2"/>
        <v>0</v>
      </c>
      <c r="E62">
        <f t="shared" si="3"/>
        <v>0</v>
      </c>
      <c r="G62">
        <f t="shared" si="4"/>
        <v>1</v>
      </c>
      <c r="I62">
        <f t="shared" si="5"/>
        <v>0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0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1</v>
      </c>
      <c r="G63">
        <f t="shared" si="4"/>
        <v>0</v>
      </c>
      <c r="I63">
        <f t="shared" si="5"/>
        <v>2</v>
      </c>
      <c r="K63">
        <f t="shared" si="6"/>
        <v>3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7</v>
      </c>
      <c r="G64">
        <f t="shared" si="4"/>
        <v>0</v>
      </c>
      <c r="I64">
        <f t="shared" si="5"/>
        <v>0</v>
      </c>
      <c r="K64">
        <f t="shared" si="6"/>
        <v>8</v>
      </c>
      <c r="N64">
        <f t="shared" si="7"/>
        <v>2</v>
      </c>
      <c r="O64">
        <f t="shared" si="8"/>
        <v>2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>
        <f t="shared" si="17"/>
        <v>1</v>
      </c>
      <c r="AE64">
        <f t="shared" si="18"/>
        <v>1</v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6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5</v>
      </c>
      <c r="O66">
        <f>SUM(O54:O65)</f>
        <v>4</v>
      </c>
      <c r="P66">
        <f>SUM(P54:P65)</f>
        <v>2</v>
      </c>
      <c r="Q66">
        <f>SUM(Q54:Q65)</f>
        <v>1</v>
      </c>
      <c r="S66">
        <f>SUM(S54:S65)</f>
        <v>1</v>
      </c>
      <c r="T66">
        <f>SUM(T54:T65)</f>
        <v>0</v>
      </c>
      <c r="U66">
        <f>SUM(U54:U65)</f>
        <v>1</v>
      </c>
      <c r="V66">
        <f>SUM(V54:V65)</f>
        <v>1</v>
      </c>
      <c r="Y66">
        <f>SUM(Y54:Y65)</f>
        <v>4</v>
      </c>
      <c r="AA66">
        <f>SUM(AA54:AA65)</f>
        <v>1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5.75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6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5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7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8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6</v>
      </c>
      <c r="I73">
        <f t="shared" si="22"/>
        <v>0</v>
      </c>
      <c r="K73">
        <f t="shared" si="23"/>
        <v>0</v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0</v>
      </c>
      <c r="C76">
        <f t="shared" si="20"/>
        <v>0</v>
      </c>
      <c r="E76">
        <f t="shared" si="21"/>
        <v>6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10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4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>
        <f t="shared" si="24"/>
        <v>2</v>
      </c>
      <c r="D92">
        <f t="shared" si="25"/>
        <v>2</v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2</v>
      </c>
      <c r="D94">
        <f>SUM(D82:D93)</f>
        <v>2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BN94"/>
  <sheetViews>
    <sheetView workbookViewId="0">
      <selection activeCell="U9" sqref="U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C4">
        <v>1</v>
      </c>
      <c r="X4">
        <v>1</v>
      </c>
    </row>
    <row r="5" spans="1:66" x14ac:dyDescent="0.2">
      <c r="A5">
        <v>2</v>
      </c>
      <c r="B5">
        <v>12</v>
      </c>
      <c r="G5" t="s">
        <v>188</v>
      </c>
      <c r="H5">
        <v>1</v>
      </c>
      <c r="I5">
        <v>1</v>
      </c>
      <c r="K5">
        <v>2</v>
      </c>
      <c r="L5">
        <v>2</v>
      </c>
      <c r="M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24</v>
      </c>
      <c r="C6">
        <v>1</v>
      </c>
      <c r="G6" t="s">
        <v>188</v>
      </c>
      <c r="H6">
        <v>1</v>
      </c>
      <c r="I6">
        <v>1</v>
      </c>
      <c r="K6">
        <v>4</v>
      </c>
      <c r="O6">
        <v>4</v>
      </c>
      <c r="P6">
        <v>4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31</v>
      </c>
      <c r="K7">
        <v>9</v>
      </c>
      <c r="L7">
        <v>5</v>
      </c>
      <c r="M7">
        <v>5</v>
      </c>
      <c r="Q7">
        <v>4</v>
      </c>
      <c r="R7">
        <v>4</v>
      </c>
      <c r="X7">
        <v>1</v>
      </c>
    </row>
    <row r="8" spans="1:66" x14ac:dyDescent="0.2">
      <c r="A8">
        <v>5</v>
      </c>
      <c r="B8">
        <v>44</v>
      </c>
      <c r="K8">
        <v>7</v>
      </c>
      <c r="O8">
        <v>4</v>
      </c>
      <c r="P8">
        <v>4</v>
      </c>
      <c r="Q8">
        <v>2</v>
      </c>
      <c r="R8">
        <v>2</v>
      </c>
      <c r="X8">
        <v>1</v>
      </c>
    </row>
    <row r="9" spans="1:66" x14ac:dyDescent="0.2">
      <c r="A9">
        <v>6</v>
      </c>
      <c r="B9">
        <v>60</v>
      </c>
      <c r="C9">
        <v>1</v>
      </c>
      <c r="K9">
        <v>6</v>
      </c>
      <c r="L9">
        <v>4</v>
      </c>
      <c r="M9">
        <v>4</v>
      </c>
      <c r="Q9">
        <v>3</v>
      </c>
      <c r="R9">
        <v>3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65</v>
      </c>
      <c r="C10">
        <v>1</v>
      </c>
      <c r="K10">
        <v>5</v>
      </c>
      <c r="L10">
        <v>1</v>
      </c>
      <c r="M10">
        <v>1</v>
      </c>
      <c r="Q10">
        <v>5</v>
      </c>
      <c r="R10">
        <v>5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77</v>
      </c>
      <c r="G11" t="s">
        <v>188</v>
      </c>
      <c r="H11">
        <v>1</v>
      </c>
      <c r="I11">
        <v>1</v>
      </c>
      <c r="K11">
        <v>8</v>
      </c>
      <c r="L11">
        <v>7</v>
      </c>
      <c r="M11">
        <v>7</v>
      </c>
      <c r="Q11">
        <v>1</v>
      </c>
      <c r="R11">
        <v>1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87</v>
      </c>
      <c r="G12" t="s">
        <v>188</v>
      </c>
      <c r="H12">
        <v>1</v>
      </c>
      <c r="I12">
        <v>1</v>
      </c>
      <c r="K12">
        <v>5</v>
      </c>
      <c r="L12">
        <v>1</v>
      </c>
      <c r="M12">
        <v>1</v>
      </c>
      <c r="Q12">
        <v>4</v>
      </c>
      <c r="R12">
        <v>3</v>
      </c>
      <c r="S12">
        <v>1</v>
      </c>
      <c r="T12">
        <v>1</v>
      </c>
      <c r="U12">
        <v>1</v>
      </c>
    </row>
    <row r="13" spans="1:66" x14ac:dyDescent="0.2">
      <c r="A13">
        <v>10</v>
      </c>
      <c r="B13">
        <v>94</v>
      </c>
      <c r="K13">
        <v>6</v>
      </c>
      <c r="O13">
        <v>7</v>
      </c>
      <c r="P13">
        <v>5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101</v>
      </c>
      <c r="G14" t="s">
        <v>188</v>
      </c>
      <c r="H14">
        <v>1</v>
      </c>
      <c r="I14">
        <v>1</v>
      </c>
      <c r="K14">
        <v>8</v>
      </c>
      <c r="L14">
        <v>4</v>
      </c>
      <c r="M14">
        <v>4</v>
      </c>
      <c r="Q14">
        <v>4</v>
      </c>
      <c r="R14">
        <v>4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114</v>
      </c>
      <c r="K15">
        <v>7</v>
      </c>
      <c r="L15">
        <v>7</v>
      </c>
      <c r="M15">
        <v>7</v>
      </c>
      <c r="Q15">
        <v>1</v>
      </c>
      <c r="R15">
        <v>1</v>
      </c>
      <c r="S15">
        <v>1</v>
      </c>
      <c r="T15">
        <v>1</v>
      </c>
      <c r="U15">
        <v>1</v>
      </c>
      <c r="W15" t="s">
        <v>186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5</v>
      </c>
      <c r="I16">
        <f t="shared" si="0"/>
        <v>5</v>
      </c>
      <c r="J16">
        <f t="shared" si="0"/>
        <v>0</v>
      </c>
      <c r="K16">
        <f t="shared" si="0"/>
        <v>67</v>
      </c>
      <c r="L16">
        <f t="shared" si="0"/>
        <v>31</v>
      </c>
      <c r="M16">
        <f t="shared" si="0"/>
        <v>31</v>
      </c>
      <c r="N16">
        <f t="shared" si="0"/>
        <v>0</v>
      </c>
      <c r="O16">
        <f t="shared" si="0"/>
        <v>15</v>
      </c>
      <c r="P16">
        <f t="shared" si="0"/>
        <v>13</v>
      </c>
      <c r="Q16">
        <f>SUM(Q4:Q15)</f>
        <v>24</v>
      </c>
      <c r="R16">
        <f>SUM(R4:R15)</f>
        <v>23</v>
      </c>
      <c r="S16">
        <f>SUM(S4:S15)</f>
        <v>6</v>
      </c>
      <c r="T16">
        <v>0</v>
      </c>
      <c r="U16">
        <f>SUM(U4:U15)</f>
        <v>5</v>
      </c>
      <c r="V16">
        <f>SUM(V4:V15)</f>
        <v>2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0.8666666666666667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 t="e">
        <f>T66/S66</f>
        <v>#DIV/0!</v>
      </c>
      <c r="I22" t="s">
        <v>23</v>
      </c>
      <c r="N22">
        <f>AVERAGE(I54:I65)</f>
        <v>0</v>
      </c>
      <c r="O22">
        <f>MEDIAN(I54:I65)</f>
        <v>0</v>
      </c>
      <c r="P22">
        <f>MAX(I54:I65)</f>
        <v>0</v>
      </c>
      <c r="Q22">
        <f>_xlfn.STDEV.S(I54:I65)</f>
        <v>0</v>
      </c>
      <c r="S22">
        <f>V16/U16</f>
        <v>0.4</v>
      </c>
      <c r="U22">
        <f>AA66/Y66</f>
        <v>0.5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1.0833333333333333</v>
      </c>
      <c r="J24">
        <f>MAX(A54:A65)</f>
        <v>5</v>
      </c>
      <c r="K24">
        <f>_xlfn.STDEV.S(A54:A65)</f>
        <v>1.9752253419585197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0.16666666666666666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5.583333333333333</v>
      </c>
      <c r="O25">
        <f>MEDIAN(K54:K65)</f>
        <v>6</v>
      </c>
      <c r="P25">
        <f>MAX(K54:K65)</f>
        <v>9</v>
      </c>
      <c r="Q25">
        <f>_xlfn.STDEV.S(K54:K65)</f>
        <v>2.6097137890209461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0.41666666666666669</v>
      </c>
      <c r="I26">
        <f>R16/Q16</f>
        <v>0.95833333333333337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</v>
      </c>
    </row>
    <row r="29" spans="1:66" x14ac:dyDescent="0.2">
      <c r="D29">
        <f>_xlfn.STDEV.S(A68:A79)</f>
        <v>0</v>
      </c>
      <c r="I29">
        <f>AVERAGE(C54:C65)</f>
        <v>1.9166666666666667</v>
      </c>
      <c r="J29">
        <f>MAX(C54:C65)</f>
        <v>5</v>
      </c>
      <c r="K29">
        <f>_xlfn.STDEV.S(C54:C65)</f>
        <v>1.8319554050414562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1</v>
      </c>
      <c r="S30">
        <f>_xlfn.STDEV.S(C68:C79)</f>
        <v>0.38924947208076149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2.5833333333333335</v>
      </c>
      <c r="J34">
        <f>MAX(E54:E65)</f>
        <v>7</v>
      </c>
      <c r="K34">
        <f>_xlfn.STDEV.S(E54:E65)</f>
        <v>2.7122058561364044</v>
      </c>
      <c r="L34">
        <f>AVERAGE(K68:K79)</f>
        <v>1.25</v>
      </c>
      <c r="M34">
        <f>MAX(K68:K79)</f>
        <v>4</v>
      </c>
      <c r="N34">
        <f>_xlfn.STDEV.S(K68:K79)</f>
        <v>1.8929694486000912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</v>
      </c>
      <c r="J37">
        <f>MAX(G54:G65)</f>
        <v>0</v>
      </c>
      <c r="K37">
        <f>_xlfn.STDEV.S(G54:G65)</f>
        <v>0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2</v>
      </c>
      <c r="G55">
        <f t="shared" si="4"/>
        <v>0</v>
      </c>
      <c r="I55">
        <f t="shared" si="5"/>
        <v>0</v>
      </c>
      <c r="K55">
        <f t="shared" si="6"/>
        <v>2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4</v>
      </c>
      <c r="E57">
        <f t="shared" si="3"/>
        <v>5</v>
      </c>
      <c r="G57">
        <f t="shared" si="4"/>
        <v>0</v>
      </c>
      <c r="I57">
        <f t="shared" si="5"/>
        <v>0</v>
      </c>
      <c r="K57">
        <f t="shared" si="6"/>
        <v>9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2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7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3</v>
      </c>
      <c r="E59">
        <f t="shared" si="3"/>
        <v>4</v>
      </c>
      <c r="G59">
        <f t="shared" si="4"/>
        <v>0</v>
      </c>
      <c r="I59">
        <f t="shared" si="5"/>
        <v>0</v>
      </c>
      <c r="K59">
        <f t="shared" si="6"/>
        <v>6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5</v>
      </c>
      <c r="E60">
        <f t="shared" si="3"/>
        <v>1</v>
      </c>
      <c r="G60">
        <f t="shared" si="4"/>
        <v>0</v>
      </c>
      <c r="I60">
        <f t="shared" si="5"/>
        <v>0</v>
      </c>
      <c r="K60">
        <f t="shared" si="6"/>
        <v>5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1</v>
      </c>
      <c r="E61">
        <f t="shared" si="3"/>
        <v>7</v>
      </c>
      <c r="G61">
        <f t="shared" si="4"/>
        <v>0</v>
      </c>
      <c r="I61">
        <f t="shared" si="5"/>
        <v>0</v>
      </c>
      <c r="K61">
        <f t="shared" si="6"/>
        <v>8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3</v>
      </c>
      <c r="E62">
        <f t="shared" si="3"/>
        <v>1</v>
      </c>
      <c r="G62">
        <f t="shared" si="4"/>
        <v>0</v>
      </c>
      <c r="I62">
        <f t="shared" si="5"/>
        <v>0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5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6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4</v>
      </c>
      <c r="E64">
        <f t="shared" si="3"/>
        <v>4</v>
      </c>
      <c r="G64">
        <f t="shared" si="4"/>
        <v>0</v>
      </c>
      <c r="I64">
        <f t="shared" si="5"/>
        <v>0</v>
      </c>
      <c r="K64">
        <f t="shared" si="6"/>
        <v>8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7</v>
      </c>
      <c r="G65">
        <f t="shared" si="4"/>
        <v>0</v>
      </c>
      <c r="I65">
        <f t="shared" si="5"/>
        <v>0</v>
      </c>
      <c r="K65">
        <f t="shared" si="6"/>
        <v>7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0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5</v>
      </c>
      <c r="V66">
        <f>SUM(V54:V65)</f>
        <v>5</v>
      </c>
      <c r="Y66">
        <f>SUM(Y54:Y65)</f>
        <v>4</v>
      </c>
      <c r="AA66">
        <f>SUM(AA54:AA65)</f>
        <v>2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0</v>
      </c>
      <c r="G68">
        <f>AVERAGE(E68:E79)</f>
        <v>6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3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5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7</v>
      </c>
      <c r="I73">
        <f t="shared" si="22"/>
        <v>4</v>
      </c>
      <c r="K73">
        <f t="shared" si="23"/>
        <v>4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6</v>
      </c>
      <c r="I74">
        <f t="shared" si="22"/>
        <v>1</v>
      </c>
      <c r="K74">
        <f t="shared" si="23"/>
        <v>1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9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5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9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8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5</v>
      </c>
      <c r="K80">
        <f>SUM(K68:K79)</f>
        <v>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G4" t="s">
        <v>188</v>
      </c>
      <c r="H4">
        <v>1</v>
      </c>
      <c r="I4">
        <v>1</v>
      </c>
      <c r="K4">
        <v>9</v>
      </c>
      <c r="L4">
        <v>6</v>
      </c>
      <c r="M4">
        <v>6</v>
      </c>
      <c r="N4">
        <v>1</v>
      </c>
      <c r="Q4">
        <v>2</v>
      </c>
      <c r="R4">
        <v>2</v>
      </c>
      <c r="X4">
        <v>1</v>
      </c>
    </row>
    <row r="5" spans="1:66" x14ac:dyDescent="0.2">
      <c r="A5">
        <v>2</v>
      </c>
      <c r="B5">
        <v>11</v>
      </c>
      <c r="K5">
        <v>9</v>
      </c>
      <c r="Q5">
        <v>1</v>
      </c>
      <c r="R5">
        <v>1</v>
      </c>
      <c r="X5">
        <v>1</v>
      </c>
    </row>
    <row r="6" spans="1:66" x14ac:dyDescent="0.2">
      <c r="A6">
        <v>3</v>
      </c>
      <c r="B6">
        <v>30</v>
      </c>
      <c r="C6">
        <v>1</v>
      </c>
      <c r="G6" t="s">
        <v>185</v>
      </c>
      <c r="H6">
        <v>1</v>
      </c>
      <c r="K6">
        <v>9</v>
      </c>
      <c r="L6">
        <v>7</v>
      </c>
      <c r="M6">
        <v>7</v>
      </c>
      <c r="Q6">
        <v>3</v>
      </c>
      <c r="R6">
        <v>3</v>
      </c>
      <c r="X6">
        <v>1</v>
      </c>
    </row>
    <row r="7" spans="1:66" x14ac:dyDescent="0.2">
      <c r="A7">
        <v>4</v>
      </c>
      <c r="B7">
        <v>39</v>
      </c>
      <c r="K7">
        <v>10</v>
      </c>
      <c r="L7">
        <v>9</v>
      </c>
      <c r="M7">
        <v>9</v>
      </c>
      <c r="Q7">
        <v>2</v>
      </c>
      <c r="R7">
        <v>2</v>
      </c>
      <c r="S7">
        <v>1</v>
      </c>
      <c r="T7">
        <v>1</v>
      </c>
      <c r="U7">
        <v>1</v>
      </c>
      <c r="W7" t="s">
        <v>189</v>
      </c>
      <c r="X7">
        <v>1</v>
      </c>
    </row>
    <row r="8" spans="1:66" x14ac:dyDescent="0.2">
      <c r="A8">
        <v>5</v>
      </c>
      <c r="B8">
        <v>46</v>
      </c>
      <c r="G8" t="s">
        <v>188</v>
      </c>
      <c r="H8">
        <v>2</v>
      </c>
      <c r="I8">
        <v>1</v>
      </c>
      <c r="J8">
        <v>4</v>
      </c>
      <c r="K8">
        <v>2</v>
      </c>
      <c r="N8">
        <v>5</v>
      </c>
      <c r="Q8">
        <v>1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57</v>
      </c>
      <c r="G9" t="s">
        <v>188</v>
      </c>
      <c r="H9">
        <v>1</v>
      </c>
      <c r="I9">
        <v>1</v>
      </c>
      <c r="J9">
        <v>4</v>
      </c>
      <c r="K9">
        <v>10</v>
      </c>
      <c r="L9">
        <v>9</v>
      </c>
      <c r="M9">
        <v>9</v>
      </c>
      <c r="N9">
        <v>4</v>
      </c>
      <c r="Q9">
        <v>1</v>
      </c>
      <c r="R9">
        <v>1</v>
      </c>
      <c r="S9">
        <v>1</v>
      </c>
      <c r="X9">
        <v>1</v>
      </c>
    </row>
    <row r="10" spans="1:66" x14ac:dyDescent="0.2">
      <c r="A10">
        <v>7</v>
      </c>
      <c r="B10">
        <v>68</v>
      </c>
      <c r="G10" t="s">
        <v>188</v>
      </c>
      <c r="H10">
        <v>2</v>
      </c>
      <c r="I10">
        <v>2</v>
      </c>
      <c r="K10">
        <v>7</v>
      </c>
      <c r="L10">
        <v>5</v>
      </c>
      <c r="M10">
        <v>5</v>
      </c>
      <c r="N10">
        <v>1</v>
      </c>
      <c r="X10">
        <v>1</v>
      </c>
    </row>
    <row r="11" spans="1:66" x14ac:dyDescent="0.2">
      <c r="A11">
        <v>8</v>
      </c>
      <c r="B11">
        <v>78</v>
      </c>
      <c r="G11" t="s">
        <v>188</v>
      </c>
      <c r="H11">
        <v>2</v>
      </c>
      <c r="I11">
        <v>2</v>
      </c>
      <c r="J11">
        <v>1</v>
      </c>
      <c r="K11">
        <v>4</v>
      </c>
      <c r="L11">
        <v>4</v>
      </c>
      <c r="M11">
        <v>4</v>
      </c>
      <c r="Q11">
        <v>1</v>
      </c>
      <c r="R11">
        <v>1</v>
      </c>
      <c r="X11">
        <v>1</v>
      </c>
    </row>
    <row r="12" spans="1:66" x14ac:dyDescent="0.2">
      <c r="A12">
        <v>9</v>
      </c>
      <c r="B12">
        <v>87</v>
      </c>
      <c r="C12">
        <v>1</v>
      </c>
      <c r="G12" t="s">
        <v>188</v>
      </c>
      <c r="H12">
        <v>2</v>
      </c>
      <c r="I12">
        <v>2</v>
      </c>
      <c r="K12">
        <v>10</v>
      </c>
      <c r="L12">
        <v>9</v>
      </c>
      <c r="M12">
        <v>9</v>
      </c>
      <c r="Q12">
        <v>1</v>
      </c>
      <c r="R12">
        <v>1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98</v>
      </c>
      <c r="G13" t="s">
        <v>188</v>
      </c>
      <c r="H13">
        <v>2</v>
      </c>
      <c r="I13">
        <v>2</v>
      </c>
      <c r="K13">
        <v>9</v>
      </c>
      <c r="L13">
        <v>9</v>
      </c>
      <c r="M13">
        <v>9</v>
      </c>
      <c r="X13">
        <v>1</v>
      </c>
    </row>
    <row r="14" spans="1:66" x14ac:dyDescent="0.2">
      <c r="A14">
        <v>11</v>
      </c>
      <c r="B14">
        <v>103</v>
      </c>
      <c r="C14">
        <v>1</v>
      </c>
      <c r="G14" t="s">
        <v>188</v>
      </c>
      <c r="H14">
        <v>2</v>
      </c>
      <c r="I14">
        <v>2</v>
      </c>
      <c r="K14">
        <v>5</v>
      </c>
      <c r="L14">
        <v>5</v>
      </c>
      <c r="M14">
        <v>5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119</v>
      </c>
      <c r="C15">
        <v>1</v>
      </c>
      <c r="G15" t="s">
        <v>188</v>
      </c>
      <c r="H15">
        <v>2</v>
      </c>
      <c r="I15">
        <v>2</v>
      </c>
      <c r="K15">
        <v>9</v>
      </c>
      <c r="L15">
        <v>9</v>
      </c>
      <c r="M15">
        <v>9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17</v>
      </c>
      <c r="I16">
        <f t="shared" si="0"/>
        <v>15</v>
      </c>
      <c r="J16">
        <f t="shared" si="0"/>
        <v>9</v>
      </c>
      <c r="K16">
        <f t="shared" si="0"/>
        <v>93</v>
      </c>
      <c r="L16">
        <f t="shared" si="0"/>
        <v>72</v>
      </c>
      <c r="M16">
        <f t="shared" si="0"/>
        <v>72</v>
      </c>
      <c r="N16">
        <f t="shared" si="0"/>
        <v>11</v>
      </c>
      <c r="O16">
        <f t="shared" si="0"/>
        <v>0</v>
      </c>
      <c r="P16">
        <f t="shared" si="0"/>
        <v>0</v>
      </c>
      <c r="Q16">
        <f>SUM(Q4:Q15)</f>
        <v>12</v>
      </c>
      <c r="R16">
        <f>SUM(R4:R15)</f>
        <v>11</v>
      </c>
      <c r="S16">
        <f>SUM(S4:S15)</f>
        <v>5</v>
      </c>
      <c r="T16">
        <v>0</v>
      </c>
      <c r="U16">
        <f>SUM(U4:U15)</f>
        <v>1</v>
      </c>
      <c r="V16">
        <f>SUM(V4:V15)</f>
        <v>0</v>
      </c>
      <c r="W16">
        <f>SUM(W4:W15)</f>
        <v>0</v>
      </c>
      <c r="X16">
        <f>SUM(X4:X15)</f>
        <v>12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0.9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</v>
      </c>
      <c r="I22" t="s">
        <v>23</v>
      </c>
      <c r="N22">
        <f>AVERAGE(I54:I65)</f>
        <v>0.75</v>
      </c>
      <c r="O22">
        <f>MEDIAN(I54:I65)</f>
        <v>0</v>
      </c>
      <c r="P22">
        <f>MAX(I54:I65)</f>
        <v>4</v>
      </c>
      <c r="Q22">
        <f>_xlfn.STDEV.S(I54:I65)</f>
        <v>1.5447859516333116</v>
      </c>
      <c r="S22">
        <f>V16/U16</f>
        <v>0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0.9375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7.75</v>
      </c>
      <c r="O25">
        <f>MEDIAN(K54:K65)</f>
        <v>9</v>
      </c>
      <c r="P25">
        <f>MAX(K54:K65)</f>
        <v>10</v>
      </c>
      <c r="Q25">
        <f>_xlfn.STDEV.S(K54:K65)</f>
        <v>2.6671401094873817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1.25</v>
      </c>
      <c r="I26">
        <f>R16/Q16</f>
        <v>0.91666666666666663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8.8235294117647065E-2</v>
      </c>
    </row>
    <row r="29" spans="1:66" x14ac:dyDescent="0.2">
      <c r="D29">
        <f>_xlfn.STDEV.S(A68:A79)</f>
        <v>0.70710678118654757</v>
      </c>
      <c r="I29">
        <f>AVERAGE(C54:C65)</f>
        <v>0.91666666666666663</v>
      </c>
      <c r="J29">
        <f>MAX(C54:C65)</f>
        <v>3</v>
      </c>
      <c r="K29">
        <f>_xlfn.STDEV.S(C54:C65)</f>
        <v>0.99620491989562188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0.91176470588235292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>
        <f>H94/F94</f>
        <v>0.9285714285714286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6</v>
      </c>
      <c r="J34">
        <f>MAX(E54:E65)</f>
        <v>9</v>
      </c>
      <c r="K34">
        <f>_xlfn.STDEV.S(E54:E65)</f>
        <v>3.3574882386580707</v>
      </c>
      <c r="L34">
        <f>AVERAGE(K68:K79)</f>
        <v>7.5</v>
      </c>
      <c r="M34">
        <f>MAX(K68:K79)</f>
        <v>9</v>
      </c>
      <c r="N34">
        <f>_xlfn.STDEV.S(K68:K79)</f>
        <v>1.9148542155126762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0.91666666666666663</v>
      </c>
      <c r="J37">
        <f>MAX(G54:G65)</f>
        <v>5</v>
      </c>
      <c r="K37">
        <f>_xlfn.STDEV.S(G54:G65)</f>
        <v>1.7298624923456321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2</v>
      </c>
      <c r="E54">
        <f t="shared" ref="E54:E65" si="3">IF(ISBLANK(B4),"",M4)</f>
        <v>6</v>
      </c>
      <c r="G54">
        <f t="shared" ref="G54:G65" si="4">IF(ISBLANK(B4),"",N4)</f>
        <v>1</v>
      </c>
      <c r="I54">
        <f t="shared" ref="I54:I65" si="5">IF(ISBLANK(B4),"",J4)</f>
        <v>0</v>
      </c>
      <c r="K54">
        <f t="shared" ref="K54:K65" si="6">IF(ISBLANK(B4),"",K4)</f>
        <v>9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9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3</v>
      </c>
      <c r="E56">
        <f t="shared" si="3"/>
        <v>7</v>
      </c>
      <c r="G56">
        <f t="shared" si="4"/>
        <v>0</v>
      </c>
      <c r="I56">
        <f t="shared" si="5"/>
        <v>0</v>
      </c>
      <c r="K56">
        <f t="shared" si="6"/>
        <v>9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0</v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2</v>
      </c>
      <c r="E57">
        <f t="shared" si="3"/>
        <v>9</v>
      </c>
      <c r="G57">
        <f t="shared" si="4"/>
        <v>0</v>
      </c>
      <c r="I57">
        <f t="shared" si="5"/>
        <v>0</v>
      </c>
      <c r="K57">
        <f t="shared" si="6"/>
        <v>10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>
        <f t="shared" si="17"/>
        <v>1</v>
      </c>
      <c r="AE57">
        <f t="shared" si="18"/>
        <v>0</v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0</v>
      </c>
      <c r="G58">
        <f t="shared" si="4"/>
        <v>5</v>
      </c>
      <c r="I58">
        <f t="shared" si="5"/>
        <v>4</v>
      </c>
      <c r="K58">
        <f t="shared" si="6"/>
        <v>2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2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1</v>
      </c>
      <c r="E59">
        <f t="shared" si="3"/>
        <v>9</v>
      </c>
      <c r="G59">
        <f t="shared" si="4"/>
        <v>4</v>
      </c>
      <c r="I59">
        <f t="shared" si="5"/>
        <v>4</v>
      </c>
      <c r="K59">
        <f t="shared" si="6"/>
        <v>10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5</v>
      </c>
      <c r="G60">
        <f t="shared" si="4"/>
        <v>1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2</v>
      </c>
      <c r="V60">
        <f t="shared" si="14"/>
        <v>2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1</v>
      </c>
      <c r="E61">
        <f t="shared" si="3"/>
        <v>4</v>
      </c>
      <c r="G61">
        <f t="shared" si="4"/>
        <v>0</v>
      </c>
      <c r="I61">
        <f t="shared" si="5"/>
        <v>1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2</v>
      </c>
      <c r="V61">
        <f t="shared" si="14"/>
        <v>2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1</v>
      </c>
      <c r="E62">
        <f t="shared" si="3"/>
        <v>9</v>
      </c>
      <c r="G62">
        <f t="shared" si="4"/>
        <v>0</v>
      </c>
      <c r="I62">
        <f t="shared" si="5"/>
        <v>0</v>
      </c>
      <c r="K62">
        <f t="shared" si="6"/>
        <v>10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2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9</v>
      </c>
      <c r="G63">
        <f t="shared" si="4"/>
        <v>0</v>
      </c>
      <c r="I63">
        <f t="shared" si="5"/>
        <v>0</v>
      </c>
      <c r="K63">
        <f t="shared" si="6"/>
        <v>9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2</v>
      </c>
      <c r="V63">
        <f t="shared" si="14"/>
        <v>2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5</v>
      </c>
      <c r="G64">
        <f t="shared" si="4"/>
        <v>0</v>
      </c>
      <c r="I64">
        <f t="shared" si="5"/>
        <v>0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2</v>
      </c>
      <c r="V64">
        <f t="shared" si="14"/>
        <v>2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9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2</v>
      </c>
      <c r="V65">
        <f t="shared" si="14"/>
        <v>2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0</v>
      </c>
      <c r="U66">
        <f>SUM(U54:U65)</f>
        <v>16</v>
      </c>
      <c r="V66">
        <f>SUM(V54:V65)</f>
        <v>15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9</v>
      </c>
      <c r="G68">
        <f>AVERAGE(E68:E79)</f>
        <v>8.1666666666666661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0</v>
      </c>
      <c r="C70">
        <f t="shared" si="20"/>
        <v>0</v>
      </c>
      <c r="E70">
        <f t="shared" si="21"/>
        <v>10</v>
      </c>
      <c r="I70">
        <f t="shared" si="22"/>
        <v>7</v>
      </c>
      <c r="K70">
        <f t="shared" si="23"/>
        <v>7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11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11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2</v>
      </c>
      <c r="C74">
        <f t="shared" si="20"/>
        <v>0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2</v>
      </c>
      <c r="C75">
        <f t="shared" si="20"/>
        <v>0</v>
      </c>
      <c r="E75">
        <f t="shared" si="21"/>
        <v>7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2</v>
      </c>
      <c r="C76">
        <f t="shared" si="20"/>
        <v>0</v>
      </c>
      <c r="E76">
        <f t="shared" si="21"/>
        <v>12</v>
      </c>
      <c r="I76">
        <f t="shared" si="22"/>
        <v>9</v>
      </c>
      <c r="K76">
        <f t="shared" si="23"/>
        <v>9</v>
      </c>
    </row>
    <row r="77" spans="1:31" x14ac:dyDescent="0.2">
      <c r="A77">
        <f t="shared" si="19"/>
        <v>2</v>
      </c>
      <c r="C77">
        <f t="shared" si="20"/>
        <v>0</v>
      </c>
      <c r="E77">
        <f t="shared" si="21"/>
        <v>11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2</v>
      </c>
      <c r="C78">
        <f t="shared" si="20"/>
        <v>0</v>
      </c>
      <c r="E78">
        <f t="shared" si="21"/>
        <v>7</v>
      </c>
      <c r="I78">
        <f t="shared" si="22"/>
        <v>5</v>
      </c>
      <c r="K78">
        <f t="shared" si="23"/>
        <v>5</v>
      </c>
    </row>
    <row r="79" spans="1:31" x14ac:dyDescent="0.2">
      <c r="A79">
        <f t="shared" si="19"/>
        <v>2</v>
      </c>
      <c r="C79">
        <f t="shared" si="20"/>
        <v>0</v>
      </c>
      <c r="E79">
        <f t="shared" si="21"/>
        <v>11</v>
      </c>
      <c r="I79">
        <f t="shared" si="22"/>
        <v>9</v>
      </c>
      <c r="K79">
        <f t="shared" si="23"/>
        <v>9</v>
      </c>
    </row>
    <row r="80" spans="1:31" x14ac:dyDescent="0.2">
      <c r="H80" t="s">
        <v>168</v>
      </c>
      <c r="I80">
        <f>SUM(I68:I79)</f>
        <v>30</v>
      </c>
      <c r="K80">
        <f>SUM(K68:K79)</f>
        <v>30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>
        <f t="shared" si="26"/>
        <v>2</v>
      </c>
      <c r="H86">
        <f t="shared" si="27"/>
        <v>1</v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>
        <f t="shared" si="26"/>
        <v>2</v>
      </c>
      <c r="H88">
        <f t="shared" si="27"/>
        <v>2</v>
      </c>
    </row>
    <row r="89" spans="1:8" x14ac:dyDescent="0.2">
      <c r="B89" t="str">
        <f t="shared" si="24"/>
        <v/>
      </c>
      <c r="D89" t="str">
        <f t="shared" si="25"/>
        <v/>
      </c>
      <c r="F89">
        <f t="shared" si="26"/>
        <v>2</v>
      </c>
      <c r="H89">
        <f t="shared" si="27"/>
        <v>2</v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2</v>
      </c>
    </row>
    <row r="91" spans="1:8" x14ac:dyDescent="0.2">
      <c r="B91" t="str">
        <f t="shared" si="24"/>
        <v/>
      </c>
      <c r="D91" t="str">
        <f t="shared" si="25"/>
        <v/>
      </c>
      <c r="F91">
        <f t="shared" si="26"/>
        <v>2</v>
      </c>
      <c r="H91">
        <f t="shared" si="27"/>
        <v>2</v>
      </c>
    </row>
    <row r="92" spans="1:8" x14ac:dyDescent="0.2">
      <c r="B92" t="str">
        <f t="shared" si="24"/>
        <v/>
      </c>
      <c r="D92" t="str">
        <f t="shared" si="25"/>
        <v/>
      </c>
      <c r="F92">
        <f t="shared" si="26"/>
        <v>2</v>
      </c>
      <c r="H92">
        <f t="shared" si="27"/>
        <v>2</v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2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14</v>
      </c>
      <c r="H94">
        <f>SUM(H82:H93)</f>
        <v>13</v>
      </c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G4" t="s">
        <v>185</v>
      </c>
      <c r="H4">
        <v>1</v>
      </c>
      <c r="K4">
        <v>7</v>
      </c>
      <c r="L4">
        <v>2</v>
      </c>
      <c r="M4">
        <v>2</v>
      </c>
      <c r="N4">
        <v>1</v>
      </c>
      <c r="O4">
        <v>3</v>
      </c>
      <c r="P4">
        <v>3</v>
      </c>
      <c r="Q4">
        <v>2</v>
      </c>
      <c r="R4">
        <v>1</v>
      </c>
    </row>
    <row r="5" spans="1:66" x14ac:dyDescent="0.2">
      <c r="A5">
        <v>2</v>
      </c>
      <c r="B5">
        <v>14</v>
      </c>
      <c r="O5">
        <v>1</v>
      </c>
      <c r="P5">
        <v>1</v>
      </c>
      <c r="X5">
        <v>1</v>
      </c>
    </row>
    <row r="6" spans="1:66" x14ac:dyDescent="0.2">
      <c r="A6">
        <v>3</v>
      </c>
      <c r="B6">
        <v>21</v>
      </c>
      <c r="K6">
        <v>9</v>
      </c>
      <c r="L6">
        <v>4</v>
      </c>
      <c r="M6">
        <v>4</v>
      </c>
      <c r="O6">
        <v>4</v>
      </c>
      <c r="P6">
        <v>4</v>
      </c>
      <c r="Q6">
        <v>1</v>
      </c>
      <c r="R6">
        <v>1</v>
      </c>
      <c r="X6">
        <v>1</v>
      </c>
    </row>
    <row r="7" spans="1:66" x14ac:dyDescent="0.2">
      <c r="A7">
        <v>4</v>
      </c>
      <c r="B7">
        <v>40</v>
      </c>
      <c r="C7">
        <v>1</v>
      </c>
      <c r="J7">
        <v>1</v>
      </c>
      <c r="K7">
        <v>4</v>
      </c>
      <c r="O7">
        <v>5</v>
      </c>
      <c r="P7">
        <v>5</v>
      </c>
      <c r="X7">
        <v>1</v>
      </c>
    </row>
    <row r="8" spans="1:66" x14ac:dyDescent="0.2">
      <c r="A8">
        <v>5</v>
      </c>
      <c r="B8">
        <v>50</v>
      </c>
      <c r="J8">
        <v>1</v>
      </c>
      <c r="K8">
        <v>5</v>
      </c>
      <c r="O8">
        <v>4</v>
      </c>
      <c r="P8">
        <v>3</v>
      </c>
      <c r="Q8">
        <v>3</v>
      </c>
      <c r="R8">
        <v>3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55</v>
      </c>
      <c r="K9">
        <v>6</v>
      </c>
      <c r="L9">
        <v>7</v>
      </c>
      <c r="M9">
        <v>7</v>
      </c>
    </row>
    <row r="10" spans="1:66" x14ac:dyDescent="0.2">
      <c r="A10">
        <v>7</v>
      </c>
      <c r="B10">
        <v>61</v>
      </c>
      <c r="C10">
        <v>1</v>
      </c>
      <c r="G10" t="s">
        <v>188</v>
      </c>
      <c r="H10">
        <v>1</v>
      </c>
      <c r="I10">
        <v>1</v>
      </c>
      <c r="J10">
        <v>3</v>
      </c>
      <c r="K10">
        <v>5</v>
      </c>
      <c r="N10">
        <v>3</v>
      </c>
      <c r="O10">
        <v>3</v>
      </c>
      <c r="P10">
        <v>3</v>
      </c>
      <c r="Q10">
        <v>1</v>
      </c>
      <c r="R10">
        <v>1</v>
      </c>
      <c r="S10">
        <v>1</v>
      </c>
      <c r="T10">
        <v>1</v>
      </c>
    </row>
    <row r="11" spans="1:66" x14ac:dyDescent="0.2">
      <c r="A11">
        <v>8</v>
      </c>
      <c r="B11">
        <v>89</v>
      </c>
      <c r="D11" t="s">
        <v>185</v>
      </c>
      <c r="E11">
        <v>1</v>
      </c>
      <c r="J11">
        <v>2</v>
      </c>
      <c r="K11">
        <v>5</v>
      </c>
      <c r="O11">
        <v>6</v>
      </c>
      <c r="P11">
        <v>5</v>
      </c>
    </row>
    <row r="12" spans="1:66" x14ac:dyDescent="0.2">
      <c r="A12">
        <v>9</v>
      </c>
      <c r="B12">
        <v>95</v>
      </c>
      <c r="C12">
        <v>1</v>
      </c>
      <c r="G12" t="s">
        <v>188</v>
      </c>
      <c r="H12">
        <v>1</v>
      </c>
      <c r="I12">
        <v>1</v>
      </c>
      <c r="J12">
        <v>4</v>
      </c>
      <c r="K12">
        <v>3</v>
      </c>
      <c r="N12">
        <v>4</v>
      </c>
      <c r="O12">
        <v>3</v>
      </c>
      <c r="P12">
        <v>3</v>
      </c>
      <c r="X12">
        <v>1</v>
      </c>
    </row>
    <row r="13" spans="1:66" x14ac:dyDescent="0.2">
      <c r="A13">
        <v>10</v>
      </c>
      <c r="B13">
        <v>103</v>
      </c>
      <c r="J13">
        <v>3</v>
      </c>
      <c r="K13">
        <v>3</v>
      </c>
      <c r="N13">
        <v>3</v>
      </c>
      <c r="O13">
        <v>4</v>
      </c>
      <c r="P13">
        <v>4</v>
      </c>
      <c r="X13">
        <v>1</v>
      </c>
    </row>
    <row r="14" spans="1:66" x14ac:dyDescent="0.2">
      <c r="A14">
        <v>11</v>
      </c>
      <c r="B14">
        <v>114</v>
      </c>
      <c r="J14">
        <v>2</v>
      </c>
      <c r="K14">
        <v>4</v>
      </c>
      <c r="O14">
        <v>4</v>
      </c>
      <c r="P14">
        <v>4</v>
      </c>
      <c r="S14">
        <v>1</v>
      </c>
      <c r="T14">
        <v>1</v>
      </c>
      <c r="U14">
        <v>1</v>
      </c>
      <c r="W14" t="s">
        <v>189</v>
      </c>
      <c r="X14">
        <v>1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3</v>
      </c>
      <c r="E16">
        <f>SUM(E4:E15)</f>
        <v>1</v>
      </c>
      <c r="F16">
        <f>SUM(F4:F15)</f>
        <v>0</v>
      </c>
      <c r="H16">
        <f t="shared" ref="H16:P16" si="0">SUM(H4:H15)</f>
        <v>3</v>
      </c>
      <c r="I16">
        <f t="shared" si="0"/>
        <v>2</v>
      </c>
      <c r="J16">
        <f t="shared" si="0"/>
        <v>16</v>
      </c>
      <c r="K16">
        <f t="shared" si="0"/>
        <v>51</v>
      </c>
      <c r="L16">
        <f t="shared" si="0"/>
        <v>13</v>
      </c>
      <c r="M16">
        <f t="shared" si="0"/>
        <v>13</v>
      </c>
      <c r="N16">
        <f t="shared" si="0"/>
        <v>11</v>
      </c>
      <c r="O16">
        <f t="shared" si="0"/>
        <v>37</v>
      </c>
      <c r="P16">
        <f t="shared" si="0"/>
        <v>35</v>
      </c>
      <c r="Q16">
        <f>SUM(Q4:Q15)</f>
        <v>7</v>
      </c>
      <c r="R16">
        <f>SUM(R4:R15)</f>
        <v>6</v>
      </c>
      <c r="S16">
        <f>SUM(S4:S15)</f>
        <v>3</v>
      </c>
      <c r="T16">
        <v>0</v>
      </c>
      <c r="U16">
        <f>SUM(U4:U15)</f>
        <v>1</v>
      </c>
      <c r="V16">
        <f>SUM(V4:V15)</f>
        <v>0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11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0.66666666666666663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0.94594594594594594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</v>
      </c>
      <c r="F22">
        <f>T66/S66</f>
        <v>0</v>
      </c>
      <c r="I22" t="s">
        <v>23</v>
      </c>
      <c r="N22">
        <f>AVERAGE(I54:I65)</f>
        <v>1.4545454545454546</v>
      </c>
      <c r="O22">
        <f>MEDIAN(I54:I65)</f>
        <v>1</v>
      </c>
      <c r="P22">
        <f>MAX(I54:I65)</f>
        <v>4</v>
      </c>
      <c r="Q22">
        <f>_xlfn.STDEV.S(I54:I65)</f>
        <v>1.4396969378057567</v>
      </c>
      <c r="S22">
        <f>V16/U16</f>
        <v>0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3.1818181818181817</v>
      </c>
      <c r="J24">
        <f>MAX(A54:A65)</f>
        <v>5</v>
      </c>
      <c r="K24">
        <f>_xlfn.STDEV.S(A54:A65)</f>
        <v>1.5374122295716151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4.6363636363636367</v>
      </c>
      <c r="O25">
        <f>MEDIAN(K54:K65)</f>
        <v>5</v>
      </c>
      <c r="P25">
        <f>MAX(K54:K65)</f>
        <v>9</v>
      </c>
      <c r="Q25">
        <f>_xlfn.STDEV.S(K54:K65)</f>
        <v>2.3354968324845689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0.18181818181818182</v>
      </c>
      <c r="I26">
        <f>R16/Q16</f>
        <v>0.8571428571428571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0.23880597014925373</v>
      </c>
    </row>
    <row r="29" spans="1:66" x14ac:dyDescent="0.2">
      <c r="D29">
        <f>_xlfn.STDEV.S(A68:A79)</f>
        <v>0.57735026918962584</v>
      </c>
      <c r="I29">
        <f>AVERAGE(C54:C65)</f>
        <v>0.54545454545454541</v>
      </c>
      <c r="J29">
        <f>MAX(C54:C65)</f>
        <v>3</v>
      </c>
      <c r="K29">
        <f>_xlfn.STDEV.S(C54:C65)</f>
        <v>0.9341987329938275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0.76119402985074625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1.1818181818181819</v>
      </c>
      <c r="J34">
        <f>MAX(E54:E65)</f>
        <v>7</v>
      </c>
      <c r="K34">
        <f>_xlfn.STDEV.S(E54:E65)</f>
        <v>2.3159525823376361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</v>
      </c>
      <c r="J37">
        <f>MAX(G54:G65)</f>
        <v>4</v>
      </c>
      <c r="K37">
        <f>_xlfn.STDEV.S(G54:G65)</f>
        <v>1.5491933384829668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1</v>
      </c>
      <c r="E54">
        <f t="shared" ref="E54:E65" si="3">IF(ISBLANK(B4),"",M4)</f>
        <v>2</v>
      </c>
      <c r="G54">
        <f t="shared" ref="G54:G65" si="4">IF(ISBLANK(B4),"",N4)</f>
        <v>1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0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0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1</v>
      </c>
      <c r="E56">
        <f t="shared" si="3"/>
        <v>4</v>
      </c>
      <c r="G56">
        <f t="shared" si="4"/>
        <v>0</v>
      </c>
      <c r="I56">
        <f t="shared" si="5"/>
        <v>0</v>
      </c>
      <c r="K56">
        <f t="shared" si="6"/>
        <v>9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5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1</v>
      </c>
      <c r="K57">
        <f t="shared" si="6"/>
        <v>4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3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7</v>
      </c>
      <c r="G59">
        <f t="shared" si="4"/>
        <v>0</v>
      </c>
      <c r="I59">
        <f t="shared" si="5"/>
        <v>0</v>
      </c>
      <c r="K59">
        <f t="shared" si="6"/>
        <v>6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1</v>
      </c>
      <c r="E60">
        <f t="shared" si="3"/>
        <v>0</v>
      </c>
      <c r="G60">
        <f t="shared" si="4"/>
        <v>3</v>
      </c>
      <c r="I60">
        <f t="shared" si="5"/>
        <v>3</v>
      </c>
      <c r="K60">
        <f t="shared" si="6"/>
        <v>5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5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2</v>
      </c>
      <c r="K61">
        <f t="shared" si="6"/>
        <v>5</v>
      </c>
      <c r="N61">
        <f t="shared" si="7"/>
        <v>1</v>
      </c>
      <c r="O61">
        <f t="shared" si="8"/>
        <v>0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0</v>
      </c>
      <c r="E62">
        <f t="shared" si="3"/>
        <v>0</v>
      </c>
      <c r="G62">
        <f t="shared" si="4"/>
        <v>4</v>
      </c>
      <c r="I62">
        <f t="shared" si="5"/>
        <v>4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3</v>
      </c>
      <c r="I63">
        <f t="shared" si="5"/>
        <v>3</v>
      </c>
      <c r="K63">
        <f t="shared" si="6"/>
        <v>3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2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>
        <f t="shared" si="17"/>
        <v>1</v>
      </c>
      <c r="AE64">
        <f t="shared" si="18"/>
        <v>0</v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0</v>
      </c>
      <c r="U66">
        <f>SUM(U54:U65)</f>
        <v>2</v>
      </c>
      <c r="V66">
        <f>SUM(V54:V65)</f>
        <v>2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6</v>
      </c>
      <c r="G68">
        <f>AVERAGE(E68:E79)</f>
        <v>5.0909090909090908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9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5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7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5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5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4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4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C4">
        <v>1</v>
      </c>
      <c r="D4" t="s">
        <v>185</v>
      </c>
      <c r="E4">
        <v>1</v>
      </c>
      <c r="F4">
        <v>1</v>
      </c>
      <c r="K4">
        <v>9</v>
      </c>
      <c r="L4">
        <v>5</v>
      </c>
      <c r="M4">
        <v>5</v>
      </c>
      <c r="Q4">
        <v>2</v>
      </c>
      <c r="R4">
        <v>2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15</v>
      </c>
      <c r="C5">
        <v>1</v>
      </c>
      <c r="G5" t="s">
        <v>185</v>
      </c>
      <c r="H5">
        <v>1</v>
      </c>
      <c r="I5">
        <v>1</v>
      </c>
      <c r="K5">
        <v>2</v>
      </c>
      <c r="O5">
        <v>5</v>
      </c>
      <c r="P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23</v>
      </c>
      <c r="G6" t="s">
        <v>185</v>
      </c>
      <c r="H6">
        <v>1</v>
      </c>
      <c r="I6">
        <v>1</v>
      </c>
      <c r="K6">
        <v>2</v>
      </c>
      <c r="O6">
        <v>1</v>
      </c>
      <c r="Q6">
        <v>1</v>
      </c>
      <c r="R6">
        <v>1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37</v>
      </c>
      <c r="G7" t="s">
        <v>188</v>
      </c>
      <c r="H7">
        <v>1</v>
      </c>
      <c r="I7">
        <v>1</v>
      </c>
      <c r="K7">
        <v>7</v>
      </c>
      <c r="L7">
        <v>6</v>
      </c>
      <c r="M7">
        <v>6</v>
      </c>
      <c r="Q7">
        <v>2</v>
      </c>
      <c r="R7">
        <v>2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43</v>
      </c>
      <c r="C8">
        <v>1</v>
      </c>
      <c r="D8" t="s">
        <v>185</v>
      </c>
      <c r="E8">
        <v>1</v>
      </c>
      <c r="K8">
        <v>4</v>
      </c>
      <c r="O8">
        <v>3</v>
      </c>
      <c r="P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53</v>
      </c>
      <c r="C9">
        <v>1</v>
      </c>
      <c r="K9">
        <v>5</v>
      </c>
      <c r="L9">
        <v>3</v>
      </c>
      <c r="M9">
        <v>3</v>
      </c>
      <c r="N9">
        <v>1</v>
      </c>
      <c r="Q9">
        <v>2</v>
      </c>
      <c r="R9">
        <v>2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61</v>
      </c>
      <c r="G10" t="s">
        <v>188</v>
      </c>
      <c r="H10">
        <v>1</v>
      </c>
      <c r="I10">
        <v>1</v>
      </c>
      <c r="K10">
        <v>6</v>
      </c>
      <c r="L10">
        <v>6</v>
      </c>
      <c r="M10">
        <v>6</v>
      </c>
      <c r="U10">
        <v>1</v>
      </c>
      <c r="V10">
        <v>1</v>
      </c>
      <c r="W10" t="s">
        <v>189</v>
      </c>
    </row>
    <row r="11" spans="1:66" x14ac:dyDescent="0.2">
      <c r="A11">
        <v>8</v>
      </c>
      <c r="B11">
        <v>71</v>
      </c>
      <c r="G11" t="s">
        <v>185</v>
      </c>
      <c r="H11">
        <v>1</v>
      </c>
      <c r="I11">
        <v>1</v>
      </c>
      <c r="K11">
        <v>4</v>
      </c>
      <c r="O11">
        <v>3</v>
      </c>
      <c r="P11">
        <v>2</v>
      </c>
      <c r="Q11">
        <v>1</v>
      </c>
      <c r="R11">
        <v>1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89</v>
      </c>
      <c r="G12" t="s">
        <v>188</v>
      </c>
      <c r="H12">
        <v>1</v>
      </c>
      <c r="I12">
        <v>1</v>
      </c>
      <c r="K12">
        <v>9</v>
      </c>
      <c r="L12">
        <v>9</v>
      </c>
      <c r="M12">
        <v>7</v>
      </c>
    </row>
    <row r="13" spans="1:66" x14ac:dyDescent="0.2">
      <c r="A13">
        <v>10</v>
      </c>
      <c r="B13">
        <v>96</v>
      </c>
      <c r="G13" t="s">
        <v>188</v>
      </c>
      <c r="H13">
        <v>1</v>
      </c>
      <c r="I13">
        <v>1</v>
      </c>
      <c r="K13">
        <v>5</v>
      </c>
      <c r="O13">
        <v>2</v>
      </c>
      <c r="P13">
        <v>2</v>
      </c>
      <c r="Q13">
        <v>3</v>
      </c>
      <c r="R13">
        <v>3</v>
      </c>
      <c r="X13">
        <v>1</v>
      </c>
    </row>
    <row r="14" spans="1:66" x14ac:dyDescent="0.2">
      <c r="A14">
        <v>11</v>
      </c>
      <c r="B14">
        <v>103</v>
      </c>
      <c r="G14" t="s">
        <v>188</v>
      </c>
      <c r="H14">
        <v>1</v>
      </c>
      <c r="I14">
        <v>1</v>
      </c>
      <c r="K14">
        <v>10</v>
      </c>
      <c r="L14">
        <v>5</v>
      </c>
      <c r="M14">
        <v>5</v>
      </c>
      <c r="Q14">
        <v>5</v>
      </c>
      <c r="R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111</v>
      </c>
      <c r="G15" t="s">
        <v>188</v>
      </c>
      <c r="H15">
        <v>1</v>
      </c>
      <c r="K15">
        <v>4</v>
      </c>
      <c r="O15">
        <v>4</v>
      </c>
      <c r="P15">
        <v>4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2</v>
      </c>
      <c r="F16">
        <f>SUM(F4:F15)</f>
        <v>1</v>
      </c>
      <c r="H16">
        <f t="shared" ref="H16:P16" si="0">SUM(H4:H15)</f>
        <v>9</v>
      </c>
      <c r="I16">
        <f t="shared" si="0"/>
        <v>8</v>
      </c>
      <c r="J16">
        <f t="shared" si="0"/>
        <v>0</v>
      </c>
      <c r="K16">
        <f t="shared" si="0"/>
        <v>67</v>
      </c>
      <c r="L16">
        <f t="shared" si="0"/>
        <v>34</v>
      </c>
      <c r="M16">
        <f t="shared" si="0"/>
        <v>32</v>
      </c>
      <c r="N16">
        <f t="shared" si="0"/>
        <v>1</v>
      </c>
      <c r="O16">
        <f t="shared" si="0"/>
        <v>18</v>
      </c>
      <c r="P16">
        <f t="shared" si="0"/>
        <v>12</v>
      </c>
      <c r="Q16">
        <f>SUM(Q4:Q15)</f>
        <v>16</v>
      </c>
      <c r="R16">
        <f>SUM(R4:R15)</f>
        <v>15</v>
      </c>
      <c r="S16">
        <f>SUM(S4:S15)</f>
        <v>5</v>
      </c>
      <c r="T16">
        <v>0</v>
      </c>
      <c r="U16">
        <f>SUM(U4:U15)</f>
        <v>4</v>
      </c>
      <c r="V16">
        <f>SUM(V4:V15)</f>
        <v>4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</v>
      </c>
      <c r="F20">
        <f>COUNT(I4:I15)/COUNT(H4:H15)</f>
        <v>0.88888888888888884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0.66666666666666663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0.5</v>
      </c>
      <c r="F22">
        <f>T66/S66</f>
        <v>1</v>
      </c>
      <c r="I22" t="s">
        <v>23</v>
      </c>
      <c r="N22">
        <f>AVERAGE(I54:I65)</f>
        <v>0</v>
      </c>
      <c r="O22">
        <f>MEDIAN(I54:I65)</f>
        <v>0</v>
      </c>
      <c r="P22">
        <f>MAX(I54:I65)</f>
        <v>0</v>
      </c>
      <c r="Q22">
        <f>_xlfn.STDEV.S(I54:I65)</f>
        <v>0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0.83333333333333337</v>
      </c>
      <c r="I24">
        <f>AVERAGE(A54:A65)</f>
        <v>1</v>
      </c>
      <c r="J24">
        <f>MAX(A54:A65)</f>
        <v>4</v>
      </c>
      <c r="K24">
        <f>_xlfn.STDEV.S(A54:A65)</f>
        <v>1.4142135623730951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5.583333333333333</v>
      </c>
      <c r="O25">
        <f>MEDIAN(K54:K65)</f>
        <v>5</v>
      </c>
      <c r="P25">
        <f>MAX(K54:K65)</f>
        <v>10</v>
      </c>
      <c r="Q25">
        <f>_xlfn.STDEV.S(K54:K65)</f>
        <v>2.6784776318353725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0.66666666666666663</v>
      </c>
      <c r="I26">
        <f>R16/Q16</f>
        <v>0.9375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</v>
      </c>
    </row>
    <row r="29" spans="1:66" x14ac:dyDescent="0.2">
      <c r="D29">
        <f>_xlfn.STDEV.S(A68:A79)</f>
        <v>0.33333333333333343</v>
      </c>
      <c r="I29">
        <f>AVERAGE(C54:C65)</f>
        <v>1.25</v>
      </c>
      <c r="J29">
        <f>MAX(C54:C65)</f>
        <v>4</v>
      </c>
      <c r="K29">
        <f>_xlfn.STDEV.S(C54:C65)</f>
        <v>1.3568010505999362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1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0.94117647058823528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2.6666666666666665</v>
      </c>
      <c r="J34">
        <f>MAX(E54:E65)</f>
        <v>7</v>
      </c>
      <c r="K34">
        <f>_xlfn.STDEV.S(E54:E65)</f>
        <v>2.9336088024923512</v>
      </c>
      <c r="L34">
        <f>AVERAGE(K68:K79)</f>
        <v>2</v>
      </c>
      <c r="M34">
        <f>MAX(K68:K79)</f>
        <v>5</v>
      </c>
      <c r="N34">
        <f>_xlfn.STDEV.S(K68:K79)</f>
        <v>2.4494897427831779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8.3333333333333329E-2</v>
      </c>
      <c r="J37">
        <f>MAX(G54:G65)</f>
        <v>1</v>
      </c>
      <c r="K37">
        <f>_xlfn.STDEV.S(G54:G65)</f>
        <v>0.28867513459481287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2</v>
      </c>
      <c r="E54">
        <f t="shared" ref="E54:E65" si="3">IF(ISBLANK(B4),"",M4)</f>
        <v>5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9</v>
      </c>
      <c r="N54">
        <f t="shared" ref="N54:N65" si="7">IF($D4="d", $E4, "")</f>
        <v>1</v>
      </c>
      <c r="O54">
        <f t="shared" ref="O54:O65" si="8">IF($D4="d", $F4, "")</f>
        <v>1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2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>
        <f t="shared" si="11"/>
        <v>1</v>
      </c>
      <c r="T55">
        <f t="shared" si="12"/>
        <v>1</v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2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1</v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2</v>
      </c>
      <c r="E57">
        <f t="shared" si="3"/>
        <v>6</v>
      </c>
      <c r="G57">
        <f t="shared" si="4"/>
        <v>0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4</v>
      </c>
      <c r="N58">
        <f t="shared" si="7"/>
        <v>1</v>
      </c>
      <c r="O58">
        <f t="shared" si="8"/>
        <v>0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2</v>
      </c>
      <c r="E59">
        <f t="shared" si="3"/>
        <v>3</v>
      </c>
      <c r="G59">
        <f t="shared" si="4"/>
        <v>1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6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>
        <f t="shared" si="17"/>
        <v>1</v>
      </c>
      <c r="AE60">
        <f t="shared" si="18"/>
        <v>1</v>
      </c>
    </row>
    <row r="61" spans="1:44" x14ac:dyDescent="0.2">
      <c r="A61">
        <f t="shared" si="1"/>
        <v>2</v>
      </c>
      <c r="C61">
        <f t="shared" si="2"/>
        <v>1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9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2</v>
      </c>
      <c r="C63">
        <f t="shared" si="2"/>
        <v>3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4</v>
      </c>
      <c r="E64">
        <f t="shared" si="3"/>
        <v>5</v>
      </c>
      <c r="G64">
        <f t="shared" si="4"/>
        <v>0</v>
      </c>
      <c r="I64">
        <f t="shared" si="5"/>
        <v>0</v>
      </c>
      <c r="K64">
        <f t="shared" si="6"/>
        <v>10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0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6</v>
      </c>
      <c r="V66">
        <f>SUM(V54:V65)</f>
        <v>5</v>
      </c>
      <c r="Y66">
        <f>SUM(Y54:Y65)</f>
        <v>3</v>
      </c>
      <c r="AA66">
        <f>SUM(AA54:AA65)</f>
        <v>3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8</v>
      </c>
      <c r="G68">
        <f>AVERAGE(E68:E79)</f>
        <v>5.666666666666667</v>
      </c>
      <c r="I68">
        <f>IF(ISBLANK(B4)+ISBLANK(C4), "", L4)</f>
        <v>5</v>
      </c>
      <c r="K68">
        <f>IF(ISBLANK(B4)+ISBLANK(C4), "", M4)</f>
        <v>5</v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2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2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3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5</v>
      </c>
      <c r="I73">
        <f t="shared" si="22"/>
        <v>3</v>
      </c>
      <c r="K73">
        <f t="shared" si="23"/>
        <v>3</v>
      </c>
    </row>
    <row r="74" spans="1:31" x14ac:dyDescent="0.2">
      <c r="A74">
        <f t="shared" si="19"/>
        <v>1</v>
      </c>
      <c r="C74">
        <f t="shared" si="20"/>
        <v>1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8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10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0</v>
      </c>
      <c r="C79">
        <f t="shared" si="20"/>
        <v>0</v>
      </c>
      <c r="E79">
        <f t="shared" si="21"/>
        <v>4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8</v>
      </c>
      <c r="K80">
        <f>SUM(K68:K79)</f>
        <v>8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6</v>
      </c>
      <c r="D4" t="s">
        <v>188</v>
      </c>
      <c r="E4">
        <v>1</v>
      </c>
      <c r="F4">
        <v>1</v>
      </c>
      <c r="J4">
        <v>1</v>
      </c>
      <c r="K4">
        <v>4</v>
      </c>
      <c r="O4">
        <v>5</v>
      </c>
      <c r="P4">
        <v>4</v>
      </c>
      <c r="X4">
        <v>1</v>
      </c>
    </row>
    <row r="5" spans="1:66" x14ac:dyDescent="0.2">
      <c r="A5">
        <v>2</v>
      </c>
      <c r="B5">
        <v>13</v>
      </c>
      <c r="K5">
        <v>8</v>
      </c>
      <c r="L5">
        <v>6</v>
      </c>
      <c r="M5">
        <v>6</v>
      </c>
      <c r="Q5">
        <v>3</v>
      </c>
      <c r="R5">
        <v>3</v>
      </c>
      <c r="U5">
        <v>1</v>
      </c>
      <c r="V5">
        <v>1</v>
      </c>
      <c r="W5" t="s">
        <v>186</v>
      </c>
      <c r="X5">
        <v>1</v>
      </c>
    </row>
    <row r="6" spans="1:66" x14ac:dyDescent="0.2">
      <c r="A6">
        <v>3</v>
      </c>
      <c r="B6">
        <v>21</v>
      </c>
      <c r="G6" t="s">
        <v>188</v>
      </c>
      <c r="H6">
        <v>1</v>
      </c>
      <c r="I6">
        <v>1</v>
      </c>
      <c r="J6">
        <v>1</v>
      </c>
      <c r="K6">
        <v>6</v>
      </c>
      <c r="N6">
        <v>4</v>
      </c>
      <c r="O6">
        <v>3</v>
      </c>
      <c r="P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39</v>
      </c>
      <c r="C7">
        <v>1</v>
      </c>
      <c r="G7" t="s">
        <v>188</v>
      </c>
      <c r="H7">
        <v>1</v>
      </c>
      <c r="I7">
        <v>1</v>
      </c>
      <c r="K7">
        <v>10</v>
      </c>
      <c r="L7">
        <v>5</v>
      </c>
      <c r="M7">
        <v>5</v>
      </c>
      <c r="O7">
        <v>1</v>
      </c>
      <c r="P7">
        <v>1</v>
      </c>
      <c r="Q7">
        <v>4</v>
      </c>
      <c r="R7">
        <v>4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46</v>
      </c>
      <c r="D8" t="s">
        <v>188</v>
      </c>
      <c r="E8">
        <v>1</v>
      </c>
      <c r="K8">
        <v>5</v>
      </c>
      <c r="O8">
        <v>5</v>
      </c>
      <c r="P8">
        <v>5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59</v>
      </c>
      <c r="D9" t="s">
        <v>185</v>
      </c>
      <c r="E9">
        <v>1</v>
      </c>
      <c r="F9">
        <v>1</v>
      </c>
      <c r="J9">
        <v>1</v>
      </c>
      <c r="K9">
        <v>3</v>
      </c>
      <c r="O9">
        <v>3</v>
      </c>
      <c r="P9">
        <v>3</v>
      </c>
      <c r="Q9">
        <v>2</v>
      </c>
      <c r="R9">
        <v>2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66</v>
      </c>
      <c r="J10">
        <v>3</v>
      </c>
      <c r="K10">
        <v>4</v>
      </c>
      <c r="N10">
        <v>3</v>
      </c>
      <c r="O10">
        <v>3</v>
      </c>
      <c r="P10">
        <v>3</v>
      </c>
      <c r="Q10">
        <v>1</v>
      </c>
      <c r="R10">
        <v>1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77</v>
      </c>
      <c r="D11" t="s">
        <v>185</v>
      </c>
      <c r="E11">
        <v>1</v>
      </c>
      <c r="F11">
        <v>1</v>
      </c>
      <c r="J11">
        <v>1</v>
      </c>
      <c r="K11">
        <v>3</v>
      </c>
      <c r="L11">
        <v>1</v>
      </c>
      <c r="O11">
        <v>3</v>
      </c>
      <c r="P11">
        <v>3</v>
      </c>
      <c r="X11">
        <v>1</v>
      </c>
    </row>
    <row r="12" spans="1:66" x14ac:dyDescent="0.2">
      <c r="A12">
        <v>9</v>
      </c>
      <c r="B12">
        <v>86</v>
      </c>
      <c r="C12">
        <v>1</v>
      </c>
      <c r="D12" t="s">
        <v>188</v>
      </c>
      <c r="E12">
        <v>1</v>
      </c>
      <c r="F12">
        <v>1</v>
      </c>
      <c r="J12">
        <v>4</v>
      </c>
      <c r="K12">
        <v>1</v>
      </c>
      <c r="O12">
        <v>5</v>
      </c>
      <c r="P12">
        <v>5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92</v>
      </c>
      <c r="C13">
        <v>1</v>
      </c>
      <c r="D13" t="s">
        <v>185</v>
      </c>
      <c r="E13">
        <v>1</v>
      </c>
      <c r="J13">
        <v>2</v>
      </c>
      <c r="K13">
        <v>5</v>
      </c>
      <c r="O13">
        <v>4</v>
      </c>
      <c r="P13">
        <v>4</v>
      </c>
      <c r="Q13">
        <v>4</v>
      </c>
      <c r="R13">
        <v>4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106</v>
      </c>
      <c r="C14">
        <v>1</v>
      </c>
      <c r="G14" t="s">
        <v>185</v>
      </c>
      <c r="H14">
        <v>1</v>
      </c>
      <c r="I14">
        <v>1</v>
      </c>
      <c r="K14">
        <v>6</v>
      </c>
      <c r="O14">
        <v>6</v>
      </c>
      <c r="P14">
        <v>5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111</v>
      </c>
      <c r="K15">
        <v>5</v>
      </c>
      <c r="N15">
        <v>1</v>
      </c>
      <c r="O15">
        <v>5</v>
      </c>
      <c r="P15">
        <v>4</v>
      </c>
      <c r="S15">
        <v>1</v>
      </c>
      <c r="T15">
        <v>1</v>
      </c>
    </row>
    <row r="16" spans="1:66" x14ac:dyDescent="0.2">
      <c r="A16" t="s">
        <v>8</v>
      </c>
      <c r="C16">
        <f>SUM(C4:C15)</f>
        <v>4</v>
      </c>
      <c r="E16">
        <f>SUM(E4:E15)</f>
        <v>6</v>
      </c>
      <c r="F16">
        <f>SUM(F4:F15)</f>
        <v>4</v>
      </c>
      <c r="H16">
        <f t="shared" ref="H16:P16" si="0">SUM(H4:H15)</f>
        <v>3</v>
      </c>
      <c r="I16">
        <f t="shared" si="0"/>
        <v>3</v>
      </c>
      <c r="J16">
        <f t="shared" si="0"/>
        <v>13</v>
      </c>
      <c r="K16">
        <f t="shared" si="0"/>
        <v>60</v>
      </c>
      <c r="L16">
        <f t="shared" si="0"/>
        <v>12</v>
      </c>
      <c r="M16">
        <f t="shared" si="0"/>
        <v>11</v>
      </c>
      <c r="N16">
        <f t="shared" si="0"/>
        <v>8</v>
      </c>
      <c r="O16">
        <f t="shared" si="0"/>
        <v>43</v>
      </c>
      <c r="P16">
        <f t="shared" si="0"/>
        <v>40</v>
      </c>
      <c r="Q16">
        <f>SUM(Q4:Q15)</f>
        <v>14</v>
      </c>
      <c r="R16">
        <f>SUM(R4:R15)</f>
        <v>14</v>
      </c>
      <c r="S16">
        <f>SUM(S4:S15)</f>
        <v>2</v>
      </c>
      <c r="T16">
        <v>0</v>
      </c>
      <c r="U16">
        <f>SUM(U4:U15)</f>
        <v>8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0.66666666666666663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0.93023255813953487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0.66666666666666663</v>
      </c>
      <c r="F22">
        <f>T66/S66</f>
        <v>1</v>
      </c>
      <c r="I22" t="s">
        <v>23</v>
      </c>
      <c r="N22">
        <f>AVERAGE(I54:I65)</f>
        <v>1.0833333333333333</v>
      </c>
      <c r="O22">
        <f>MEDIAN(I54:I65)</f>
        <v>1</v>
      </c>
      <c r="P22">
        <f>MAX(I54:I65)</f>
        <v>4</v>
      </c>
      <c r="Q22">
        <f>_xlfn.STDEV.S(I54:I65)</f>
        <v>1.3113721705515065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0.66666666666666663</v>
      </c>
      <c r="F24">
        <f>V66/U66</f>
        <v>1</v>
      </c>
      <c r="I24">
        <f>AVERAGE(A54:A65)</f>
        <v>3.3333333333333335</v>
      </c>
      <c r="J24">
        <f>MAX(A54:A65)</f>
        <v>5</v>
      </c>
      <c r="K24">
        <f>_xlfn.STDEV.S(A54:A65)</f>
        <v>1.5569978883230458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</v>
      </c>
      <c r="O25">
        <f>MEDIAN(K54:K65)</f>
        <v>5</v>
      </c>
      <c r="P25">
        <f>MAX(K54:K65)</f>
        <v>10</v>
      </c>
      <c r="Q25">
        <f>_xlfn.STDEV.S(K54:K65)</f>
        <v>2.3741027013091993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0.33333333333333331</v>
      </c>
      <c r="F26">
        <f>I16/A19</f>
        <v>0.25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0.17808219178082191</v>
      </c>
    </row>
    <row r="29" spans="1:66" x14ac:dyDescent="0.2">
      <c r="D29">
        <f>_xlfn.STDEV.S(A68:A79)</f>
        <v>0</v>
      </c>
      <c r="I29">
        <f>AVERAGE(C54:C65)</f>
        <v>1.1666666666666667</v>
      </c>
      <c r="J29">
        <f>MAX(C54:C65)</f>
        <v>4</v>
      </c>
      <c r="K29">
        <f>_xlfn.STDEV.S(C54:C65)</f>
        <v>1.6422453217986943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0.82191780821917804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0.91666666666666663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0.91666666666666663</v>
      </c>
      <c r="J34">
        <f>MAX(E54:E65)</f>
        <v>6</v>
      </c>
      <c r="K34">
        <f>_xlfn.STDEV.S(E54:E65)</f>
        <v>2.151461800448216</v>
      </c>
      <c r="L34">
        <f>AVERAGE(K68:K79)</f>
        <v>1.25</v>
      </c>
      <c r="M34">
        <f>MAX(K68:K79)</f>
        <v>5</v>
      </c>
      <c r="N34">
        <f>_xlfn.STDEV.S(K68:K79)</f>
        <v>2.5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0.66666666666666663</v>
      </c>
      <c r="J37">
        <f>MAX(G54:G65)</f>
        <v>4</v>
      </c>
      <c r="K37">
        <f>_xlfn.STDEV.S(G54:G65)</f>
        <v>1.3706888336846839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4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1</v>
      </c>
      <c r="Q54">
        <f t="shared" ref="Q54:Q65" si="10">IF($D4="i", $F4, "")</f>
        <v>1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3</v>
      </c>
      <c r="E55">
        <f t="shared" si="3"/>
        <v>6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0</v>
      </c>
      <c r="G56">
        <f t="shared" si="4"/>
        <v>4</v>
      </c>
      <c r="I56">
        <f t="shared" si="5"/>
        <v>1</v>
      </c>
      <c r="K56">
        <f t="shared" si="6"/>
        <v>6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4</v>
      </c>
      <c r="E57">
        <f t="shared" si="3"/>
        <v>5</v>
      </c>
      <c r="G57">
        <f t="shared" si="4"/>
        <v>0</v>
      </c>
      <c r="I57">
        <f t="shared" si="5"/>
        <v>0</v>
      </c>
      <c r="K57">
        <f t="shared" si="6"/>
        <v>10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5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5</v>
      </c>
      <c r="N58" t="str">
        <f t="shared" si="7"/>
        <v/>
      </c>
      <c r="O58" t="str">
        <f t="shared" si="8"/>
        <v/>
      </c>
      <c r="P58">
        <f t="shared" si="9"/>
        <v>1</v>
      </c>
      <c r="Q58">
        <f t="shared" si="10"/>
        <v>0</v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2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3</v>
      </c>
      <c r="N59">
        <f t="shared" si="7"/>
        <v>1</v>
      </c>
      <c r="O59">
        <f t="shared" si="8"/>
        <v>1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1</v>
      </c>
      <c r="E60">
        <f t="shared" si="3"/>
        <v>0</v>
      </c>
      <c r="G60">
        <f t="shared" si="4"/>
        <v>3</v>
      </c>
      <c r="I60">
        <f t="shared" si="5"/>
        <v>3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1</v>
      </c>
      <c r="K61">
        <f t="shared" si="6"/>
        <v>3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5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4</v>
      </c>
      <c r="K62">
        <f t="shared" si="6"/>
        <v>1</v>
      </c>
      <c r="N62" t="str">
        <f t="shared" si="7"/>
        <v/>
      </c>
      <c r="O62" t="str">
        <f t="shared" si="8"/>
        <v/>
      </c>
      <c r="P62">
        <f t="shared" si="9"/>
        <v>1</v>
      </c>
      <c r="Q62">
        <f t="shared" si="10"/>
        <v>1</v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4</v>
      </c>
      <c r="E63">
        <f t="shared" si="3"/>
        <v>0</v>
      </c>
      <c r="G63">
        <f t="shared" si="4"/>
        <v>0</v>
      </c>
      <c r="I63">
        <f t="shared" si="5"/>
        <v>2</v>
      </c>
      <c r="K63">
        <f t="shared" si="6"/>
        <v>5</v>
      </c>
      <c r="N63">
        <f t="shared" si="7"/>
        <v>1</v>
      </c>
      <c r="O63">
        <f t="shared" si="8"/>
        <v>0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5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1</v>
      </c>
      <c r="I65">
        <f t="shared" si="5"/>
        <v>0</v>
      </c>
      <c r="K65">
        <f t="shared" si="6"/>
        <v>5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3</v>
      </c>
      <c r="O66">
        <f>SUM(O54:O65)</f>
        <v>2</v>
      </c>
      <c r="P66">
        <f>SUM(P54:P65)</f>
        <v>3</v>
      </c>
      <c r="Q66">
        <f>SUM(Q54:Q65)</f>
        <v>2</v>
      </c>
      <c r="S66">
        <f>SUM(S54:S65)</f>
        <v>1</v>
      </c>
      <c r="T66">
        <f>SUM(T54:T65)</f>
        <v>1</v>
      </c>
      <c r="U66">
        <f>SUM(U54:U65)</f>
        <v>2</v>
      </c>
      <c r="V66">
        <f>SUM(V54:V65)</f>
        <v>2</v>
      </c>
      <c r="Y66">
        <f>SUM(Y54:Y65)</f>
        <v>8</v>
      </c>
      <c r="AA66">
        <f>SUM(AA54:AA65)</f>
        <v>8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5</v>
      </c>
      <c r="G68">
        <f>AVERAGE(E68:E79)</f>
        <v>6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9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4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1</v>
      </c>
      <c r="E71">
        <f t="shared" si="21"/>
        <v>11</v>
      </c>
      <c r="I71">
        <f t="shared" si="22"/>
        <v>5</v>
      </c>
      <c r="K71">
        <f t="shared" si="23"/>
        <v>5</v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5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6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8</v>
      </c>
      <c r="I77">
        <f t="shared" si="22"/>
        <v>0</v>
      </c>
      <c r="K77">
        <f t="shared" si="23"/>
        <v>0</v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6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4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5</v>
      </c>
      <c r="K80">
        <f>SUM(K68:K79)</f>
        <v>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D4" t="s">
        <v>185</v>
      </c>
      <c r="E4">
        <v>1</v>
      </c>
      <c r="J4">
        <v>2</v>
      </c>
      <c r="K4">
        <v>4</v>
      </c>
      <c r="N4">
        <v>3</v>
      </c>
      <c r="O4">
        <v>2</v>
      </c>
      <c r="P4">
        <v>2</v>
      </c>
      <c r="U4">
        <v>1</v>
      </c>
      <c r="V4">
        <v>1</v>
      </c>
      <c r="W4" t="s">
        <v>186</v>
      </c>
      <c r="Y4">
        <v>1</v>
      </c>
    </row>
    <row r="5" spans="1:66" x14ac:dyDescent="0.2">
      <c r="A5">
        <v>2</v>
      </c>
      <c r="B5">
        <v>16</v>
      </c>
      <c r="K5">
        <v>4</v>
      </c>
      <c r="O5">
        <v>4</v>
      </c>
      <c r="P5">
        <v>4</v>
      </c>
      <c r="U5">
        <v>1</v>
      </c>
      <c r="V5">
        <v>1</v>
      </c>
      <c r="W5" t="s">
        <v>189</v>
      </c>
    </row>
    <row r="6" spans="1:66" x14ac:dyDescent="0.2">
      <c r="A6">
        <v>3</v>
      </c>
      <c r="B6">
        <v>27</v>
      </c>
      <c r="D6" t="s">
        <v>188</v>
      </c>
      <c r="E6">
        <v>1</v>
      </c>
      <c r="F6">
        <v>1</v>
      </c>
      <c r="J6">
        <v>2</v>
      </c>
      <c r="K6">
        <v>5</v>
      </c>
      <c r="N6">
        <v>2</v>
      </c>
      <c r="O6">
        <v>4</v>
      </c>
      <c r="P6">
        <v>4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33</v>
      </c>
      <c r="G7" t="s">
        <v>185</v>
      </c>
      <c r="H7">
        <v>1</v>
      </c>
      <c r="J7">
        <v>1</v>
      </c>
      <c r="K7">
        <v>10</v>
      </c>
      <c r="L7">
        <v>6</v>
      </c>
      <c r="M7">
        <v>6</v>
      </c>
      <c r="Q7">
        <v>5</v>
      </c>
      <c r="R7">
        <v>5</v>
      </c>
      <c r="U7">
        <v>1</v>
      </c>
      <c r="V7">
        <v>1</v>
      </c>
      <c r="W7" t="s">
        <v>186</v>
      </c>
      <c r="Y7">
        <v>1</v>
      </c>
    </row>
    <row r="8" spans="1:66" x14ac:dyDescent="0.2">
      <c r="A8">
        <v>5</v>
      </c>
      <c r="B8">
        <v>42</v>
      </c>
      <c r="D8" t="s">
        <v>185</v>
      </c>
      <c r="E8">
        <v>1</v>
      </c>
      <c r="F8">
        <v>1</v>
      </c>
      <c r="J8">
        <v>2</v>
      </c>
      <c r="K8">
        <v>3</v>
      </c>
      <c r="O8">
        <v>5</v>
      </c>
      <c r="P8">
        <v>5</v>
      </c>
      <c r="U8">
        <v>1</v>
      </c>
      <c r="V8">
        <v>1</v>
      </c>
      <c r="W8" t="s">
        <v>186</v>
      </c>
      <c r="Y8">
        <v>1</v>
      </c>
    </row>
    <row r="9" spans="1:66" x14ac:dyDescent="0.2">
      <c r="A9">
        <v>6</v>
      </c>
      <c r="B9">
        <v>55</v>
      </c>
      <c r="D9" t="s">
        <v>185</v>
      </c>
      <c r="E9">
        <v>2</v>
      </c>
      <c r="F9">
        <v>2</v>
      </c>
      <c r="K9">
        <v>5</v>
      </c>
      <c r="O9">
        <v>5</v>
      </c>
      <c r="P9">
        <v>5</v>
      </c>
      <c r="U9">
        <v>1</v>
      </c>
      <c r="V9">
        <v>1</v>
      </c>
      <c r="W9" t="s">
        <v>186</v>
      </c>
      <c r="Y9">
        <v>2</v>
      </c>
    </row>
    <row r="10" spans="1:66" x14ac:dyDescent="0.2">
      <c r="A10">
        <v>7</v>
      </c>
      <c r="B10">
        <v>61</v>
      </c>
      <c r="D10" t="s">
        <v>185</v>
      </c>
      <c r="E10">
        <v>2</v>
      </c>
      <c r="F10">
        <v>1</v>
      </c>
      <c r="K10">
        <v>9</v>
      </c>
      <c r="O10">
        <v>6</v>
      </c>
      <c r="P10">
        <v>6</v>
      </c>
      <c r="Q10">
        <v>3</v>
      </c>
      <c r="R10">
        <v>3</v>
      </c>
      <c r="U10">
        <v>1</v>
      </c>
      <c r="V10">
        <v>1</v>
      </c>
      <c r="W10" t="s">
        <v>186</v>
      </c>
      <c r="Y10">
        <v>1</v>
      </c>
    </row>
    <row r="11" spans="1:66" x14ac:dyDescent="0.2">
      <c r="A11">
        <v>8</v>
      </c>
      <c r="B11">
        <v>77</v>
      </c>
      <c r="C11">
        <v>1</v>
      </c>
      <c r="D11" t="s">
        <v>185</v>
      </c>
      <c r="E11">
        <v>1</v>
      </c>
      <c r="F11">
        <v>1</v>
      </c>
      <c r="K11">
        <v>6</v>
      </c>
      <c r="O11">
        <v>6</v>
      </c>
      <c r="P11">
        <v>6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85</v>
      </c>
      <c r="C12">
        <v>1</v>
      </c>
      <c r="G12" t="s">
        <v>188</v>
      </c>
      <c r="H12">
        <v>2</v>
      </c>
      <c r="I12">
        <v>2</v>
      </c>
      <c r="J12">
        <v>1</v>
      </c>
      <c r="K12">
        <v>7</v>
      </c>
      <c r="L12">
        <v>2</v>
      </c>
      <c r="M12">
        <v>2</v>
      </c>
      <c r="O12">
        <v>4</v>
      </c>
      <c r="P12">
        <v>3</v>
      </c>
      <c r="Q12">
        <v>1</v>
      </c>
      <c r="R12">
        <v>1</v>
      </c>
      <c r="X12">
        <v>1</v>
      </c>
    </row>
    <row r="13" spans="1:66" x14ac:dyDescent="0.2">
      <c r="A13">
        <v>10</v>
      </c>
      <c r="B13">
        <v>93</v>
      </c>
      <c r="D13" t="s">
        <v>188</v>
      </c>
      <c r="E13">
        <v>1</v>
      </c>
      <c r="J13">
        <v>3</v>
      </c>
      <c r="K13">
        <v>4</v>
      </c>
      <c r="O13">
        <v>8</v>
      </c>
      <c r="P13">
        <v>6</v>
      </c>
      <c r="U13">
        <v>1</v>
      </c>
      <c r="V13">
        <v>1</v>
      </c>
      <c r="W13" t="s">
        <v>186</v>
      </c>
      <c r="Y13">
        <v>1</v>
      </c>
    </row>
    <row r="14" spans="1:66" x14ac:dyDescent="0.2">
      <c r="A14">
        <v>11</v>
      </c>
      <c r="B14">
        <v>102</v>
      </c>
      <c r="C14">
        <v>1</v>
      </c>
      <c r="G14" t="s">
        <v>188</v>
      </c>
      <c r="H14">
        <v>2</v>
      </c>
      <c r="I14">
        <v>2</v>
      </c>
      <c r="J14">
        <v>2</v>
      </c>
      <c r="K14">
        <v>5</v>
      </c>
      <c r="O14">
        <v>4</v>
      </c>
      <c r="P14">
        <v>4</v>
      </c>
      <c r="Q14">
        <v>3</v>
      </c>
      <c r="R14">
        <v>3</v>
      </c>
      <c r="U14">
        <v>1</v>
      </c>
      <c r="V14">
        <v>1</v>
      </c>
      <c r="W14" t="s">
        <v>186</v>
      </c>
      <c r="Y14">
        <v>1</v>
      </c>
    </row>
    <row r="15" spans="1:66" x14ac:dyDescent="0.2">
      <c r="A15">
        <v>12</v>
      </c>
      <c r="B15">
        <v>113</v>
      </c>
      <c r="C15">
        <v>1</v>
      </c>
      <c r="D15" t="s">
        <v>188</v>
      </c>
      <c r="E15">
        <v>1</v>
      </c>
      <c r="F15">
        <v>1</v>
      </c>
      <c r="J15">
        <v>1</v>
      </c>
      <c r="K15">
        <v>4</v>
      </c>
      <c r="O15">
        <v>5</v>
      </c>
      <c r="P15">
        <v>4</v>
      </c>
      <c r="U15">
        <v>1</v>
      </c>
      <c r="V15">
        <v>1</v>
      </c>
      <c r="W15" t="s">
        <v>186</v>
      </c>
      <c r="Y15">
        <v>1</v>
      </c>
    </row>
    <row r="16" spans="1:66" x14ac:dyDescent="0.2">
      <c r="A16" t="s">
        <v>8</v>
      </c>
      <c r="C16">
        <f>SUM(C4:C15)</f>
        <v>4</v>
      </c>
      <c r="E16">
        <f>SUM(E4:E15)</f>
        <v>10</v>
      </c>
      <c r="F16">
        <f>SUM(F4:F15)</f>
        <v>7</v>
      </c>
      <c r="H16">
        <f t="shared" ref="H16:P16" si="0">SUM(H4:H15)</f>
        <v>5</v>
      </c>
      <c r="I16">
        <f t="shared" si="0"/>
        <v>4</v>
      </c>
      <c r="J16">
        <f t="shared" si="0"/>
        <v>14</v>
      </c>
      <c r="K16">
        <f t="shared" si="0"/>
        <v>66</v>
      </c>
      <c r="L16">
        <f t="shared" si="0"/>
        <v>8</v>
      </c>
      <c r="M16">
        <f t="shared" si="0"/>
        <v>8</v>
      </c>
      <c r="N16">
        <f t="shared" si="0"/>
        <v>5</v>
      </c>
      <c r="O16">
        <f t="shared" si="0"/>
        <v>53</v>
      </c>
      <c r="P16">
        <f t="shared" si="0"/>
        <v>49</v>
      </c>
      <c r="Q16">
        <f>SUM(Q4:Q15)</f>
        <v>12</v>
      </c>
      <c r="R16">
        <f>SUM(R4:R15)</f>
        <v>12</v>
      </c>
      <c r="S16">
        <f>SUM(S4:S15)</f>
        <v>0</v>
      </c>
      <c r="T16">
        <v>0</v>
      </c>
      <c r="U16">
        <f>SUM(U4:U15)</f>
        <v>11</v>
      </c>
      <c r="V16">
        <f>SUM(V4:V15)</f>
        <v>11</v>
      </c>
      <c r="W16">
        <f>SUM(W4:W15)</f>
        <v>0</v>
      </c>
      <c r="X16">
        <f>SUM(X4:X15)</f>
        <v>1</v>
      </c>
      <c r="Y16">
        <f>SUM(Y4:Y15)</f>
        <v>9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0.75</v>
      </c>
      <c r="F20">
        <f>COUNT(I4:I15)/COUNT(H4:H15)</f>
        <v>0.66666666666666663</v>
      </c>
      <c r="I20" t="s">
        <v>41</v>
      </c>
      <c r="N20" t="s">
        <v>29</v>
      </c>
      <c r="S20" t="e">
        <f>T16/S16</f>
        <v>#DIV/0!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0.92452830188679247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0.7142857142857143</v>
      </c>
      <c r="F22">
        <f>T66/S66</f>
        <v>0</v>
      </c>
      <c r="I22" t="s">
        <v>23</v>
      </c>
      <c r="N22">
        <f>AVERAGE(I54:I65)</f>
        <v>1.1666666666666667</v>
      </c>
      <c r="O22">
        <f>MEDIAN(I54:I65)</f>
        <v>1</v>
      </c>
      <c r="P22">
        <f>MAX(I54:I65)</f>
        <v>3</v>
      </c>
      <c r="Q22">
        <f>_xlfn.STDEV.S(I54:I65)</f>
        <v>1.0298573010888745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0.66666666666666663</v>
      </c>
      <c r="F24">
        <f>V66/U66</f>
        <v>1</v>
      </c>
      <c r="I24">
        <f>AVERAGE(A54:A65)</f>
        <v>4.083333333333333</v>
      </c>
      <c r="J24">
        <f>MAX(A54:A65)</f>
        <v>6</v>
      </c>
      <c r="K24">
        <f>_xlfn.STDEV.S(A54:A65)</f>
        <v>1.7816403745544227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0.91666666666666663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5.5</v>
      </c>
      <c r="O25">
        <f>MEDIAN(K54:K65)</f>
        <v>5</v>
      </c>
      <c r="P25">
        <f>MAX(K54:K65)</f>
        <v>10</v>
      </c>
      <c r="Q25">
        <f>_xlfn.STDEV.S(K54:K65)</f>
        <v>2.1532216876958201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0.58333333333333337</v>
      </c>
      <c r="F26">
        <f>I16/A19</f>
        <v>0.33333333333333331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1.125</v>
      </c>
      <c r="T27">
        <f>MAX(Y4:Y15)</f>
        <v>2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0.17499999999999999</v>
      </c>
    </row>
    <row r="29" spans="1:66" x14ac:dyDescent="0.2">
      <c r="D29">
        <f>_xlfn.STDEV.S(A68:A79)</f>
        <v>1.1547005383792517</v>
      </c>
      <c r="I29">
        <f>AVERAGE(C54:C65)</f>
        <v>1</v>
      </c>
      <c r="J29">
        <f>MAX(C54:C65)</f>
        <v>5</v>
      </c>
      <c r="K29">
        <f>_xlfn.STDEV.S(C54:C65)</f>
        <v>1.7056057308448835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0.82499999999999996</v>
      </c>
      <c r="S30">
        <f>_xlfn.STDEV.S(C68:C79)</f>
        <v>0.28867513459481275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>
        <f>D94/B94</f>
        <v>0.75</v>
      </c>
      <c r="F32">
        <f>H94/F94</f>
        <v>1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0.66666666666666663</v>
      </c>
      <c r="J34">
        <f>MAX(E54:E65)</f>
        <v>6</v>
      </c>
      <c r="K34">
        <f>_xlfn.STDEV.S(E54:E65)</f>
        <v>1.7752507291971891</v>
      </c>
      <c r="L34">
        <f>AVERAGE(K68:K79)</f>
        <v>0.5</v>
      </c>
      <c r="M34">
        <f>MAX(K68:K79)</f>
        <v>2</v>
      </c>
      <c r="N34">
        <f>_xlfn.STDEV.S(K68:K79)</f>
        <v>1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0.41666666666666669</v>
      </c>
      <c r="J37">
        <f>MAX(G54:G65)</f>
        <v>3</v>
      </c>
      <c r="K37">
        <f>_xlfn.STDEV.S(G54:G65)</f>
        <v>0.99620491989562188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2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3</v>
      </c>
      <c r="I54">
        <f t="shared" ref="I54:I65" si="5">IF(ISBLANK(B4),"",J4)</f>
        <v>2</v>
      </c>
      <c r="K54">
        <f t="shared" ref="K54:K65" si="6">IF(ISBLANK(B4),"",K4)</f>
        <v>4</v>
      </c>
      <c r="N54">
        <f t="shared" ref="N54:N65" si="7">IF($D4="d", $E4, "")</f>
        <v>1</v>
      </c>
      <c r="O54">
        <f t="shared" ref="O54:O65" si="8">IF($D4="d", $F4, "")</f>
        <v>0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4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>
        <f t="shared" si="17"/>
        <v>1</v>
      </c>
      <c r="AE55">
        <f t="shared" si="18"/>
        <v>1</v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2</v>
      </c>
      <c r="I56">
        <f t="shared" si="5"/>
        <v>2</v>
      </c>
      <c r="K56">
        <f t="shared" si="6"/>
        <v>5</v>
      </c>
      <c r="N56" t="str">
        <f t="shared" si="7"/>
        <v/>
      </c>
      <c r="O56" t="str">
        <f t="shared" si="8"/>
        <v/>
      </c>
      <c r="P56">
        <f t="shared" si="9"/>
        <v>1</v>
      </c>
      <c r="Q56">
        <f t="shared" si="10"/>
        <v>1</v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5</v>
      </c>
      <c r="E57">
        <f t="shared" si="3"/>
        <v>6</v>
      </c>
      <c r="G57">
        <f t="shared" si="4"/>
        <v>0</v>
      </c>
      <c r="I57">
        <f t="shared" si="5"/>
        <v>1</v>
      </c>
      <c r="K57">
        <f t="shared" si="6"/>
        <v>10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0</v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5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2</v>
      </c>
      <c r="K58">
        <f t="shared" si="6"/>
        <v>3</v>
      </c>
      <c r="N58">
        <f t="shared" si="7"/>
        <v>1</v>
      </c>
      <c r="O58">
        <f t="shared" si="8"/>
        <v>1</v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5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>
        <f t="shared" si="7"/>
        <v>2</v>
      </c>
      <c r="O59">
        <f t="shared" si="8"/>
        <v>2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6</v>
      </c>
      <c r="C60">
        <f t="shared" si="2"/>
        <v>3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9</v>
      </c>
      <c r="N60">
        <f t="shared" si="7"/>
        <v>2</v>
      </c>
      <c r="O60">
        <f t="shared" si="8"/>
        <v>1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6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6</v>
      </c>
      <c r="N61">
        <f t="shared" si="7"/>
        <v>1</v>
      </c>
      <c r="O61">
        <f t="shared" si="8"/>
        <v>1</v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1</v>
      </c>
      <c r="E62">
        <f t="shared" si="3"/>
        <v>2</v>
      </c>
      <c r="G62">
        <f t="shared" si="4"/>
        <v>0</v>
      </c>
      <c r="I62">
        <f t="shared" si="5"/>
        <v>1</v>
      </c>
      <c r="K62">
        <f t="shared" si="6"/>
        <v>7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2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6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3</v>
      </c>
      <c r="K63">
        <f t="shared" si="6"/>
        <v>4</v>
      </c>
      <c r="N63" t="str">
        <f t="shared" si="7"/>
        <v/>
      </c>
      <c r="O63" t="str">
        <f t="shared" si="8"/>
        <v/>
      </c>
      <c r="P63">
        <f t="shared" si="9"/>
        <v>1</v>
      </c>
      <c r="Q63">
        <f t="shared" si="10"/>
        <v>0</v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3</v>
      </c>
      <c r="E64">
        <f t="shared" si="3"/>
        <v>0</v>
      </c>
      <c r="G64">
        <f t="shared" si="4"/>
        <v>0</v>
      </c>
      <c r="I64">
        <f t="shared" si="5"/>
        <v>2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2</v>
      </c>
      <c r="V64">
        <f t="shared" si="14"/>
        <v>2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4</v>
      </c>
      <c r="N65" t="str">
        <f t="shared" si="7"/>
        <v/>
      </c>
      <c r="O65" t="str">
        <f t="shared" si="8"/>
        <v/>
      </c>
      <c r="P65">
        <f t="shared" si="9"/>
        <v>1</v>
      </c>
      <c r="Q65">
        <f t="shared" si="10"/>
        <v>1</v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7</v>
      </c>
      <c r="O66">
        <f>SUM(O54:O65)</f>
        <v>5</v>
      </c>
      <c r="P66">
        <f>SUM(P54:P65)</f>
        <v>3</v>
      </c>
      <c r="Q66">
        <f>SUM(Q54:Q65)</f>
        <v>2</v>
      </c>
      <c r="S66">
        <f>SUM(S54:S65)</f>
        <v>1</v>
      </c>
      <c r="T66">
        <f>SUM(T54:T65)</f>
        <v>0</v>
      </c>
      <c r="U66">
        <f>SUM(U54:U65)</f>
        <v>4</v>
      </c>
      <c r="V66">
        <f>SUM(V54:V65)</f>
        <v>4</v>
      </c>
      <c r="Y66">
        <f>SUM(Y54:Y65)</f>
        <v>10</v>
      </c>
      <c r="AA66">
        <f>SUM(AA54:AA65)</f>
        <v>10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2</v>
      </c>
      <c r="G68">
        <f>AVERAGE(E68:E79)</f>
        <v>6.666666666666667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5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0</v>
      </c>
      <c r="C71">
        <f t="shared" si="20"/>
        <v>1</v>
      </c>
      <c r="E71">
        <f t="shared" si="21"/>
        <v>11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7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10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7</v>
      </c>
      <c r="I75">
        <f t="shared" si="22"/>
        <v>0</v>
      </c>
      <c r="K75">
        <f t="shared" si="23"/>
        <v>0</v>
      </c>
    </row>
    <row r="76" spans="1:31" x14ac:dyDescent="0.2">
      <c r="A76">
        <f t="shared" si="19"/>
        <v>2</v>
      </c>
      <c r="C76">
        <f t="shared" si="20"/>
        <v>0</v>
      </c>
      <c r="E76">
        <f t="shared" si="21"/>
        <v>8</v>
      </c>
      <c r="I76">
        <f t="shared" si="22"/>
        <v>2</v>
      </c>
      <c r="K76">
        <f t="shared" si="23"/>
        <v>2</v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2</v>
      </c>
      <c r="C78">
        <f t="shared" si="20"/>
        <v>1</v>
      </c>
      <c r="E78">
        <f t="shared" si="21"/>
        <v>9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5</v>
      </c>
      <c r="I79">
        <f t="shared" si="22"/>
        <v>0</v>
      </c>
      <c r="K79">
        <f t="shared" si="23"/>
        <v>0</v>
      </c>
    </row>
    <row r="80" spans="1:31" x14ac:dyDescent="0.2">
      <c r="H80" t="s">
        <v>168</v>
      </c>
      <c r="I80">
        <f>SUM(I68:I79)</f>
        <v>2</v>
      </c>
      <c r="K80">
        <f>SUM(K68:K79)</f>
        <v>2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>
        <f t="shared" si="24"/>
        <v>2</v>
      </c>
      <c r="D87">
        <f t="shared" si="25"/>
        <v>2</v>
      </c>
      <c r="F87" t="str">
        <f t="shared" si="26"/>
        <v/>
      </c>
      <c r="H87" t="str">
        <f t="shared" si="27"/>
        <v/>
      </c>
    </row>
    <row r="88" spans="1:8" x14ac:dyDescent="0.2">
      <c r="B88">
        <f t="shared" si="24"/>
        <v>2</v>
      </c>
      <c r="D88">
        <f t="shared" si="25"/>
        <v>1</v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2</v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>
        <f t="shared" si="26"/>
        <v>2</v>
      </c>
      <c r="H92">
        <f t="shared" si="27"/>
        <v>2</v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4</v>
      </c>
      <c r="D94">
        <f>SUM(D82:D93)</f>
        <v>3</v>
      </c>
      <c r="F94">
        <f>SUM(F82:F93)</f>
        <v>4</v>
      </c>
      <c r="H94">
        <f>SUM(H82:H93)</f>
        <v>4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6</v>
      </c>
      <c r="C4">
        <v>1</v>
      </c>
      <c r="G4" t="s">
        <v>185</v>
      </c>
      <c r="H4">
        <v>1</v>
      </c>
      <c r="I4">
        <v>1</v>
      </c>
      <c r="K4">
        <v>8</v>
      </c>
      <c r="L4">
        <v>4</v>
      </c>
      <c r="M4">
        <v>4</v>
      </c>
      <c r="Q4">
        <v>4</v>
      </c>
      <c r="R4">
        <v>1</v>
      </c>
      <c r="X4">
        <v>1</v>
      </c>
    </row>
    <row r="5" spans="1:66" x14ac:dyDescent="0.2">
      <c r="A5">
        <v>2</v>
      </c>
      <c r="B5">
        <v>12</v>
      </c>
      <c r="G5" t="s">
        <v>188</v>
      </c>
      <c r="H5">
        <v>1</v>
      </c>
      <c r="I5">
        <v>1</v>
      </c>
      <c r="K5">
        <v>9</v>
      </c>
      <c r="L5">
        <v>5</v>
      </c>
      <c r="M5">
        <v>5</v>
      </c>
      <c r="Q5">
        <v>3</v>
      </c>
      <c r="R5">
        <v>2</v>
      </c>
      <c r="X5">
        <v>1</v>
      </c>
    </row>
    <row r="6" spans="1:66" x14ac:dyDescent="0.2">
      <c r="A6">
        <v>3</v>
      </c>
      <c r="B6">
        <v>31</v>
      </c>
      <c r="C6">
        <v>1</v>
      </c>
      <c r="G6" t="s">
        <v>188</v>
      </c>
      <c r="H6">
        <v>1</v>
      </c>
      <c r="K6">
        <v>11</v>
      </c>
      <c r="L6">
        <v>5</v>
      </c>
      <c r="M6">
        <v>5</v>
      </c>
      <c r="Q6">
        <v>6</v>
      </c>
      <c r="R6">
        <v>5</v>
      </c>
      <c r="X6">
        <v>1</v>
      </c>
    </row>
    <row r="7" spans="1:66" x14ac:dyDescent="0.2">
      <c r="A7">
        <v>4</v>
      </c>
      <c r="B7">
        <v>50</v>
      </c>
      <c r="J7">
        <v>1</v>
      </c>
      <c r="K7">
        <v>9</v>
      </c>
      <c r="L7">
        <v>8</v>
      </c>
      <c r="M7">
        <v>8</v>
      </c>
      <c r="Q7">
        <v>3</v>
      </c>
      <c r="R7">
        <v>1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56</v>
      </c>
      <c r="C8">
        <v>1</v>
      </c>
      <c r="G8" t="s">
        <v>185</v>
      </c>
      <c r="H8">
        <v>1</v>
      </c>
      <c r="I8">
        <v>1</v>
      </c>
      <c r="K8">
        <v>10</v>
      </c>
      <c r="L8">
        <v>8</v>
      </c>
      <c r="M8">
        <v>8</v>
      </c>
      <c r="Q8">
        <v>2</v>
      </c>
      <c r="R8">
        <v>2</v>
      </c>
    </row>
    <row r="9" spans="1:66" x14ac:dyDescent="0.2">
      <c r="A9">
        <v>6</v>
      </c>
      <c r="B9">
        <v>68</v>
      </c>
      <c r="K9">
        <v>7</v>
      </c>
      <c r="L9">
        <v>7</v>
      </c>
      <c r="M9">
        <v>7</v>
      </c>
      <c r="Q9">
        <v>1</v>
      </c>
      <c r="R9">
        <v>1</v>
      </c>
      <c r="S9">
        <v>1</v>
      </c>
      <c r="T9">
        <v>1</v>
      </c>
      <c r="U9">
        <v>1</v>
      </c>
      <c r="W9" t="s">
        <v>189</v>
      </c>
    </row>
    <row r="10" spans="1:66" x14ac:dyDescent="0.2">
      <c r="A10">
        <v>7</v>
      </c>
      <c r="B10">
        <v>79</v>
      </c>
      <c r="J10">
        <v>5</v>
      </c>
      <c r="N10">
        <v>5</v>
      </c>
      <c r="X10">
        <v>1</v>
      </c>
    </row>
    <row r="11" spans="1:66" x14ac:dyDescent="0.2">
      <c r="A11">
        <v>8</v>
      </c>
      <c r="B11">
        <v>84</v>
      </c>
      <c r="G11" t="s">
        <v>188</v>
      </c>
      <c r="H11">
        <v>1</v>
      </c>
      <c r="I11">
        <v>1</v>
      </c>
      <c r="K11">
        <v>10</v>
      </c>
      <c r="L11">
        <v>9</v>
      </c>
      <c r="M11">
        <v>9</v>
      </c>
      <c r="Q11">
        <v>1</v>
      </c>
      <c r="R11">
        <v>1</v>
      </c>
      <c r="X11">
        <v>1</v>
      </c>
    </row>
    <row r="12" spans="1:66" x14ac:dyDescent="0.2">
      <c r="A12">
        <v>9</v>
      </c>
      <c r="B12">
        <v>97</v>
      </c>
      <c r="C12">
        <v>1</v>
      </c>
      <c r="J12">
        <v>4</v>
      </c>
      <c r="K12">
        <v>2</v>
      </c>
      <c r="N12">
        <v>4</v>
      </c>
      <c r="X12">
        <v>1</v>
      </c>
    </row>
    <row r="13" spans="1:66" x14ac:dyDescent="0.2">
      <c r="A13">
        <v>10</v>
      </c>
      <c r="B13">
        <v>104</v>
      </c>
      <c r="K13">
        <v>11</v>
      </c>
      <c r="L13">
        <v>8</v>
      </c>
      <c r="M13">
        <v>8</v>
      </c>
      <c r="Q13">
        <v>4</v>
      </c>
      <c r="R13">
        <v>2</v>
      </c>
      <c r="X13">
        <v>1</v>
      </c>
    </row>
    <row r="14" spans="1:66" x14ac:dyDescent="0.2">
      <c r="A14">
        <v>11</v>
      </c>
      <c r="B14">
        <v>118</v>
      </c>
      <c r="G14" t="s">
        <v>185</v>
      </c>
      <c r="H14">
        <v>1</v>
      </c>
      <c r="I14">
        <v>1</v>
      </c>
      <c r="K14">
        <v>8</v>
      </c>
      <c r="L14">
        <v>8</v>
      </c>
      <c r="M14">
        <v>8</v>
      </c>
      <c r="Q14">
        <v>1</v>
      </c>
      <c r="X14">
        <v>1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6</v>
      </c>
      <c r="I16">
        <f t="shared" si="0"/>
        <v>5</v>
      </c>
      <c r="J16">
        <f t="shared" si="0"/>
        <v>10</v>
      </c>
      <c r="K16">
        <f t="shared" si="0"/>
        <v>85</v>
      </c>
      <c r="L16">
        <f t="shared" si="0"/>
        <v>62</v>
      </c>
      <c r="M16">
        <f t="shared" si="0"/>
        <v>62</v>
      </c>
      <c r="N16">
        <f t="shared" si="0"/>
        <v>9</v>
      </c>
      <c r="O16">
        <f t="shared" si="0"/>
        <v>0</v>
      </c>
      <c r="P16">
        <f t="shared" si="0"/>
        <v>0</v>
      </c>
      <c r="Q16">
        <f>SUM(Q4:Q15)</f>
        <v>25</v>
      </c>
      <c r="R16">
        <f>SUM(R4:R15)</f>
        <v>15</v>
      </c>
      <c r="S16">
        <f>SUM(S4:S15)</f>
        <v>2</v>
      </c>
      <c r="T16">
        <v>0</v>
      </c>
      <c r="U16">
        <f>SUM(U4:U15)</f>
        <v>1</v>
      </c>
      <c r="V16">
        <f>SUM(V4:V15)</f>
        <v>0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11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0.83333333333333337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0.90909090909090906</v>
      </c>
      <c r="O22">
        <f>MEDIAN(I54:I65)</f>
        <v>0</v>
      </c>
      <c r="P22">
        <f>MAX(I54:I65)</f>
        <v>5</v>
      </c>
      <c r="Q22">
        <f>_xlfn.STDEV.S(I54:I65)</f>
        <v>1.8140862964338522</v>
      </c>
      <c r="S22">
        <f>V16/U16</f>
        <v>0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0.66666666666666663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7.7272727272727275</v>
      </c>
      <c r="O25">
        <f>MEDIAN(K54:K65)</f>
        <v>9</v>
      </c>
      <c r="P25">
        <f>MAX(K54:K65)</f>
        <v>11</v>
      </c>
      <c r="Q25">
        <f>_xlfn.STDEV.S(K54:K65)</f>
        <v>3.5802488486391297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0.45454545454545453</v>
      </c>
      <c r="I26">
        <f>R16/Q16</f>
        <v>0.6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0.10526315789473684</v>
      </c>
    </row>
    <row r="29" spans="1:66" x14ac:dyDescent="0.2">
      <c r="D29">
        <f>_xlfn.STDEV.S(A68:A79)</f>
        <v>0.40824829046386296</v>
      </c>
      <c r="I29">
        <f>AVERAGE(C54:C65)</f>
        <v>1.3636363636363635</v>
      </c>
      <c r="J29">
        <f>MAX(C54:C65)</f>
        <v>5</v>
      </c>
      <c r="K29">
        <f>_xlfn.STDEV.S(C54:C65)</f>
        <v>1.4333685689819819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0.89473684210526316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5.6363636363636367</v>
      </c>
      <c r="J34">
        <f>MAX(E54:E65)</f>
        <v>9</v>
      </c>
      <c r="K34">
        <f>_xlfn.STDEV.S(E54:E65)</f>
        <v>3.2022719207689807</v>
      </c>
      <c r="L34">
        <f>AVERAGE(K68:K79)</f>
        <v>4.25</v>
      </c>
      <c r="M34">
        <f>MAX(K68:K79)</f>
        <v>8</v>
      </c>
      <c r="N34">
        <f>_xlfn.STDEV.S(K68:K79)</f>
        <v>3.3040379335998349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0.81818181818181823</v>
      </c>
      <c r="J37">
        <f>MAX(G54:G65)</f>
        <v>5</v>
      </c>
      <c r="K37">
        <f>_xlfn.STDEV.S(G54:G65)</f>
        <v>1.8340219092574561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4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8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2</v>
      </c>
      <c r="E55">
        <f t="shared" si="3"/>
        <v>5</v>
      </c>
      <c r="G55">
        <f t="shared" si="4"/>
        <v>0</v>
      </c>
      <c r="I55">
        <f t="shared" si="5"/>
        <v>0</v>
      </c>
      <c r="K55">
        <f t="shared" si="6"/>
        <v>9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5</v>
      </c>
      <c r="E56">
        <f t="shared" si="3"/>
        <v>5</v>
      </c>
      <c r="G56">
        <f t="shared" si="4"/>
        <v>0</v>
      </c>
      <c r="I56">
        <f t="shared" si="5"/>
        <v>0</v>
      </c>
      <c r="K56">
        <f t="shared" si="6"/>
        <v>11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0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1</v>
      </c>
      <c r="E57">
        <f t="shared" si="3"/>
        <v>8</v>
      </c>
      <c r="G57">
        <f t="shared" si="4"/>
        <v>0</v>
      </c>
      <c r="I57">
        <f t="shared" si="5"/>
        <v>1</v>
      </c>
      <c r="K57">
        <f t="shared" si="6"/>
        <v>9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8</v>
      </c>
      <c r="G58">
        <f t="shared" si="4"/>
        <v>0</v>
      </c>
      <c r="I58">
        <f t="shared" si="5"/>
        <v>0</v>
      </c>
      <c r="K58">
        <f t="shared" si="6"/>
        <v>10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1</v>
      </c>
      <c r="E59">
        <f t="shared" si="3"/>
        <v>7</v>
      </c>
      <c r="G59">
        <f t="shared" si="4"/>
        <v>0</v>
      </c>
      <c r="I59">
        <f t="shared" si="5"/>
        <v>0</v>
      </c>
      <c r="K59">
        <f t="shared" si="6"/>
        <v>7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0</v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0</v>
      </c>
      <c r="G60">
        <f t="shared" si="4"/>
        <v>5</v>
      </c>
      <c r="I60">
        <f t="shared" si="5"/>
        <v>5</v>
      </c>
      <c r="K60">
        <f t="shared" si="6"/>
        <v>0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1</v>
      </c>
      <c r="E61">
        <f t="shared" si="3"/>
        <v>9</v>
      </c>
      <c r="G61">
        <f t="shared" si="4"/>
        <v>0</v>
      </c>
      <c r="I61">
        <f t="shared" si="5"/>
        <v>0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0</v>
      </c>
      <c r="G62">
        <f t="shared" si="4"/>
        <v>4</v>
      </c>
      <c r="I62">
        <f t="shared" si="5"/>
        <v>4</v>
      </c>
      <c r="K62">
        <f t="shared" si="6"/>
        <v>2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2</v>
      </c>
      <c r="E63">
        <f t="shared" si="3"/>
        <v>8</v>
      </c>
      <c r="G63">
        <f t="shared" si="4"/>
        <v>0</v>
      </c>
      <c r="I63">
        <f t="shared" si="5"/>
        <v>0</v>
      </c>
      <c r="K63">
        <f t="shared" si="6"/>
        <v>11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8</v>
      </c>
      <c r="G64">
        <f t="shared" si="4"/>
        <v>0</v>
      </c>
      <c r="I64">
        <f t="shared" si="5"/>
        <v>0</v>
      </c>
      <c r="K64">
        <f t="shared" si="6"/>
        <v>8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3</v>
      </c>
      <c r="V66">
        <f>SUM(V54:V65)</f>
        <v>2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6</v>
      </c>
      <c r="G68">
        <f>AVERAGE(E68:E79)</f>
        <v>7.4545454545454541</v>
      </c>
      <c r="I68">
        <f>IF(ISBLANK(B4)+ISBLANK(C4), "", L4)</f>
        <v>4</v>
      </c>
      <c r="K68">
        <f>IF(ISBLANK(B4)+ISBLANK(C4), "", M4)</f>
        <v>4</v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8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0</v>
      </c>
      <c r="C70">
        <f t="shared" si="20"/>
        <v>0</v>
      </c>
      <c r="E70">
        <f t="shared" si="21"/>
        <v>10</v>
      </c>
      <c r="I70">
        <f t="shared" si="22"/>
        <v>5</v>
      </c>
      <c r="K70">
        <f t="shared" si="23"/>
        <v>5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11</v>
      </c>
      <c r="I72">
        <f t="shared" si="22"/>
        <v>8</v>
      </c>
      <c r="K72">
        <f t="shared" si="23"/>
        <v>8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8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0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11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0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10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9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17</v>
      </c>
      <c r="K80">
        <f>SUM(K68:K79)</f>
        <v>17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BN94"/>
  <sheetViews>
    <sheetView workbookViewId="0">
      <selection activeCell="F9" sqref="F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J4">
        <v>1</v>
      </c>
      <c r="K4">
        <v>5</v>
      </c>
      <c r="N4">
        <v>1</v>
      </c>
      <c r="O4">
        <v>4</v>
      </c>
      <c r="P4">
        <v>4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19</v>
      </c>
      <c r="K5">
        <v>2</v>
      </c>
      <c r="O5">
        <v>3</v>
      </c>
      <c r="P5">
        <v>3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28</v>
      </c>
      <c r="K6">
        <v>6</v>
      </c>
      <c r="O6">
        <v>6</v>
      </c>
      <c r="P6">
        <v>6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35</v>
      </c>
      <c r="K7">
        <v>8</v>
      </c>
      <c r="L7">
        <v>3</v>
      </c>
      <c r="M7">
        <v>3</v>
      </c>
      <c r="O7">
        <v>2</v>
      </c>
      <c r="P7">
        <v>1</v>
      </c>
      <c r="Q7">
        <v>4</v>
      </c>
      <c r="R7">
        <v>4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49</v>
      </c>
      <c r="C8">
        <v>1</v>
      </c>
      <c r="J8">
        <v>1</v>
      </c>
      <c r="K8">
        <v>4</v>
      </c>
      <c r="O8">
        <v>4</v>
      </c>
      <c r="P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55</v>
      </c>
      <c r="K9">
        <v>7</v>
      </c>
      <c r="O9">
        <v>7</v>
      </c>
      <c r="P9">
        <v>6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64</v>
      </c>
      <c r="J10">
        <v>1</v>
      </c>
      <c r="K10">
        <v>4</v>
      </c>
      <c r="O10">
        <v>5</v>
      </c>
      <c r="P10">
        <v>5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71</v>
      </c>
      <c r="C11">
        <v>1</v>
      </c>
      <c r="K11">
        <v>2</v>
      </c>
      <c r="N11">
        <v>1</v>
      </c>
      <c r="O11">
        <v>1</v>
      </c>
      <c r="P11">
        <v>1</v>
      </c>
      <c r="Q11">
        <v>1</v>
      </c>
      <c r="R11">
        <v>1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82</v>
      </c>
      <c r="K12">
        <v>5</v>
      </c>
      <c r="Q12">
        <v>6</v>
      </c>
      <c r="R12">
        <v>3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91</v>
      </c>
      <c r="C13">
        <v>1</v>
      </c>
      <c r="K13">
        <v>5</v>
      </c>
      <c r="O13">
        <v>4</v>
      </c>
      <c r="P13">
        <v>4</v>
      </c>
      <c r="Q13">
        <v>1</v>
      </c>
      <c r="R13">
        <v>1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101</v>
      </c>
      <c r="C14">
        <v>1</v>
      </c>
      <c r="G14" t="s">
        <v>188</v>
      </c>
      <c r="H14">
        <v>1</v>
      </c>
      <c r="I14">
        <v>1</v>
      </c>
      <c r="K14">
        <v>7</v>
      </c>
      <c r="L14">
        <v>2</v>
      </c>
      <c r="M14">
        <v>2</v>
      </c>
      <c r="N14">
        <v>3</v>
      </c>
      <c r="O14">
        <v>2</v>
      </c>
      <c r="P14">
        <v>2</v>
      </c>
      <c r="X14">
        <v>1</v>
      </c>
    </row>
    <row r="15" spans="1:66" x14ac:dyDescent="0.2">
      <c r="A15">
        <v>12</v>
      </c>
      <c r="B15">
        <v>119</v>
      </c>
      <c r="G15" t="s">
        <v>188</v>
      </c>
      <c r="H15">
        <v>1</v>
      </c>
      <c r="J15">
        <v>1</v>
      </c>
      <c r="K15">
        <v>4</v>
      </c>
      <c r="O15">
        <v>1</v>
      </c>
      <c r="P15">
        <v>1</v>
      </c>
      <c r="Q15">
        <v>3</v>
      </c>
      <c r="R15">
        <v>3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2</v>
      </c>
      <c r="I16">
        <f t="shared" si="0"/>
        <v>1</v>
      </c>
      <c r="J16">
        <f t="shared" si="0"/>
        <v>4</v>
      </c>
      <c r="K16">
        <f t="shared" si="0"/>
        <v>59</v>
      </c>
      <c r="L16">
        <f t="shared" si="0"/>
        <v>5</v>
      </c>
      <c r="M16">
        <f t="shared" si="0"/>
        <v>5</v>
      </c>
      <c r="N16">
        <f t="shared" si="0"/>
        <v>5</v>
      </c>
      <c r="O16">
        <f t="shared" si="0"/>
        <v>39</v>
      </c>
      <c r="P16">
        <f t="shared" si="0"/>
        <v>36</v>
      </c>
      <c r="Q16">
        <f>SUM(Q4:Q15)</f>
        <v>16</v>
      </c>
      <c r="R16">
        <f>SUM(R4:R15)</f>
        <v>13</v>
      </c>
      <c r="S16">
        <f>SUM(S4:S15)</f>
        <v>3</v>
      </c>
      <c r="T16">
        <v>0</v>
      </c>
      <c r="U16">
        <f>SUM(U4:U15)</f>
        <v>7</v>
      </c>
      <c r="V16">
        <f>SUM(V4:V15)</f>
        <v>7</v>
      </c>
      <c r="W16">
        <f>SUM(W4:W15)</f>
        <v>0</v>
      </c>
      <c r="X16">
        <f>SUM(X4:X15)</f>
        <v>5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0.92307692307692313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 t="e">
        <f>T66/S66</f>
        <v>#DIV/0!</v>
      </c>
      <c r="I22" t="s">
        <v>23</v>
      </c>
      <c r="N22">
        <f>AVERAGE(I54:I65)</f>
        <v>0.33333333333333331</v>
      </c>
      <c r="O22">
        <f>MEDIAN(I54:I65)</f>
        <v>0</v>
      </c>
      <c r="P22">
        <f>MAX(I54:I65)</f>
        <v>1</v>
      </c>
      <c r="Q22">
        <f>_xlfn.STDEV.S(I54:I65)</f>
        <v>0.49236596391733095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0.5</v>
      </c>
      <c r="I24">
        <f>AVERAGE(A54:A65)</f>
        <v>3</v>
      </c>
      <c r="J24">
        <f>MAX(A54:A65)</f>
        <v>6</v>
      </c>
      <c r="K24">
        <f>_xlfn.STDEV.S(A54:A65)</f>
        <v>2.0449494325821802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0.58333333333333337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4.916666666666667</v>
      </c>
      <c r="O25">
        <f>MEDIAN(K54:K65)</f>
        <v>5</v>
      </c>
      <c r="P25">
        <f>MAX(K54:K65)</f>
        <v>8</v>
      </c>
      <c r="Q25">
        <f>_xlfn.STDEV.S(K54:K65)</f>
        <v>1.8809249819912515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8.3333333333333329E-2</v>
      </c>
      <c r="I26">
        <f>R16/Q16</f>
        <v>0.8125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6.3492063492063489E-2</v>
      </c>
    </row>
    <row r="29" spans="1:66" x14ac:dyDescent="0.2">
      <c r="D29">
        <f>_xlfn.STDEV.S(A68:A79)</f>
        <v>0.70710678118654757</v>
      </c>
      <c r="I29">
        <f>AVERAGE(C54:C65)</f>
        <v>1.0833333333333333</v>
      </c>
      <c r="J29">
        <f>MAX(C54:C65)</f>
        <v>4</v>
      </c>
      <c r="K29">
        <f>_xlfn.STDEV.S(C54:C65)</f>
        <v>1.4433756729740643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0.93650793650793651</v>
      </c>
      <c r="S30">
        <f>_xlfn.STDEV.S(C68:C79)</f>
        <v>0.51492865054443726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0.41666666666666669</v>
      </c>
      <c r="J34">
        <f>MAX(E54:E65)</f>
        <v>3</v>
      </c>
      <c r="K34">
        <f>_xlfn.STDEV.S(E54:E65)</f>
        <v>0.99620491989562188</v>
      </c>
      <c r="L34">
        <f>AVERAGE(K68:K79)</f>
        <v>0.5</v>
      </c>
      <c r="M34">
        <f>MAX(K68:K79)</f>
        <v>2</v>
      </c>
      <c r="N34">
        <f>_xlfn.STDEV.S(K68:K79)</f>
        <v>1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0.41666666666666669</v>
      </c>
      <c r="J37">
        <f>MAX(G54:G65)</f>
        <v>3</v>
      </c>
      <c r="K37">
        <f>_xlfn.STDEV.S(G54:G65)</f>
        <v>0.90033663737851999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1</v>
      </c>
      <c r="I54">
        <f t="shared" ref="I54:I65" si="5">IF(ISBLANK(B4),"",J4)</f>
        <v>1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2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6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6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4</v>
      </c>
      <c r="E57">
        <f t="shared" si="3"/>
        <v>3</v>
      </c>
      <c r="G57">
        <f t="shared" si="4"/>
        <v>0</v>
      </c>
      <c r="I57">
        <f t="shared" si="5"/>
        <v>0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6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7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5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1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1</v>
      </c>
      <c r="E61">
        <f t="shared" si="3"/>
        <v>0</v>
      </c>
      <c r="G61">
        <f t="shared" si="4"/>
        <v>1</v>
      </c>
      <c r="I61">
        <f t="shared" si="5"/>
        <v>0</v>
      </c>
      <c r="K61">
        <f t="shared" si="6"/>
        <v>2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3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1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2</v>
      </c>
      <c r="C64">
        <f t="shared" si="2"/>
        <v>0</v>
      </c>
      <c r="E64">
        <f t="shared" si="3"/>
        <v>2</v>
      </c>
      <c r="G64">
        <f t="shared" si="4"/>
        <v>3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1</v>
      </c>
      <c r="C65">
        <f t="shared" si="2"/>
        <v>3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0</v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0</v>
      </c>
      <c r="T66">
        <f>SUM(T54:T65)</f>
        <v>0</v>
      </c>
      <c r="U66">
        <f>SUM(U54:U65)</f>
        <v>2</v>
      </c>
      <c r="V66">
        <f>SUM(V54:V65)</f>
        <v>1</v>
      </c>
      <c r="Y66">
        <f>SUM(Y54:Y65)</f>
        <v>7</v>
      </c>
      <c r="AA66">
        <f>SUM(AA54:AA65)</f>
        <v>7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5</v>
      </c>
      <c r="G68">
        <f>AVERAGE(E68:E79)</f>
        <v>4.583333333333333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3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6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8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3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2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5</v>
      </c>
      <c r="I77">
        <f t="shared" si="22"/>
        <v>0</v>
      </c>
      <c r="K77">
        <f t="shared" si="23"/>
        <v>0</v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5</v>
      </c>
      <c r="I78">
        <f t="shared" si="22"/>
        <v>2</v>
      </c>
      <c r="K78">
        <f t="shared" si="23"/>
        <v>2</v>
      </c>
    </row>
    <row r="79" spans="1:31" x14ac:dyDescent="0.2">
      <c r="A79">
        <f t="shared" si="19"/>
        <v>0</v>
      </c>
      <c r="C79">
        <f t="shared" si="20"/>
        <v>1</v>
      </c>
      <c r="E79">
        <f t="shared" si="21"/>
        <v>4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</v>
      </c>
      <c r="K80">
        <f>SUM(K68:K79)</f>
        <v>2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C4">
        <v>1</v>
      </c>
      <c r="D4" t="s">
        <v>185</v>
      </c>
      <c r="E4">
        <v>1</v>
      </c>
      <c r="F4">
        <v>1</v>
      </c>
      <c r="J4">
        <v>1</v>
      </c>
      <c r="K4">
        <v>3</v>
      </c>
      <c r="O4">
        <v>4</v>
      </c>
      <c r="P4">
        <v>3</v>
      </c>
      <c r="S4">
        <v>1</v>
      </c>
      <c r="T4">
        <v>1</v>
      </c>
      <c r="U4">
        <v>1</v>
      </c>
      <c r="W4" t="s">
        <v>186</v>
      </c>
      <c r="X4">
        <v>1</v>
      </c>
    </row>
    <row r="5" spans="1:66" x14ac:dyDescent="0.2">
      <c r="A5">
        <v>2</v>
      </c>
      <c r="B5">
        <v>11</v>
      </c>
      <c r="K5">
        <v>7</v>
      </c>
      <c r="L5">
        <v>5</v>
      </c>
      <c r="M5">
        <v>4</v>
      </c>
      <c r="U5">
        <v>1</v>
      </c>
      <c r="W5" t="s">
        <v>186</v>
      </c>
      <c r="X5">
        <v>1</v>
      </c>
    </row>
    <row r="6" spans="1:66" x14ac:dyDescent="0.2">
      <c r="A6">
        <v>3</v>
      </c>
      <c r="B6">
        <v>22</v>
      </c>
      <c r="C6">
        <v>1</v>
      </c>
      <c r="G6" t="s">
        <v>188</v>
      </c>
      <c r="H6">
        <v>1</v>
      </c>
      <c r="I6">
        <v>1</v>
      </c>
      <c r="J6">
        <v>1</v>
      </c>
      <c r="K6">
        <v>3</v>
      </c>
      <c r="O6">
        <v>4</v>
      </c>
      <c r="P6">
        <v>3</v>
      </c>
      <c r="U6">
        <v>1</v>
      </c>
      <c r="V6">
        <v>1</v>
      </c>
    </row>
    <row r="7" spans="1:66" x14ac:dyDescent="0.2">
      <c r="A7">
        <v>4</v>
      </c>
      <c r="B7">
        <v>33</v>
      </c>
      <c r="C7">
        <v>1</v>
      </c>
      <c r="G7" t="s">
        <v>188</v>
      </c>
      <c r="H7">
        <v>1</v>
      </c>
      <c r="I7">
        <v>1</v>
      </c>
      <c r="K7">
        <v>2</v>
      </c>
      <c r="O7">
        <v>2</v>
      </c>
      <c r="P7">
        <v>2</v>
      </c>
      <c r="X7">
        <v>1</v>
      </c>
    </row>
    <row r="8" spans="1:66" x14ac:dyDescent="0.2">
      <c r="A8">
        <v>5</v>
      </c>
      <c r="B8">
        <v>44</v>
      </c>
      <c r="G8" t="s">
        <v>185</v>
      </c>
      <c r="H8">
        <v>1</v>
      </c>
      <c r="I8">
        <v>1</v>
      </c>
      <c r="K8">
        <v>4</v>
      </c>
      <c r="L8">
        <v>4</v>
      </c>
      <c r="M8">
        <v>4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52</v>
      </c>
      <c r="G9" t="s">
        <v>188</v>
      </c>
      <c r="H9">
        <v>1</v>
      </c>
      <c r="I9">
        <v>1</v>
      </c>
      <c r="K9">
        <v>5</v>
      </c>
      <c r="L9">
        <v>3</v>
      </c>
      <c r="M9">
        <v>3</v>
      </c>
      <c r="O9">
        <v>2</v>
      </c>
      <c r="P9">
        <v>2</v>
      </c>
      <c r="Q9">
        <v>1</v>
      </c>
      <c r="R9">
        <v>1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61</v>
      </c>
      <c r="G10" t="s">
        <v>185</v>
      </c>
      <c r="H10">
        <v>1</v>
      </c>
      <c r="I10">
        <v>1</v>
      </c>
      <c r="K10">
        <v>2</v>
      </c>
      <c r="O10">
        <v>1</v>
      </c>
      <c r="P10">
        <v>1</v>
      </c>
    </row>
    <row r="11" spans="1:66" x14ac:dyDescent="0.2">
      <c r="A11">
        <v>8</v>
      </c>
      <c r="B11">
        <v>73</v>
      </c>
      <c r="C11">
        <v>1</v>
      </c>
      <c r="G11" t="s">
        <v>188</v>
      </c>
      <c r="H11">
        <v>1</v>
      </c>
      <c r="I11">
        <v>1</v>
      </c>
      <c r="K11">
        <v>1</v>
      </c>
      <c r="O11">
        <v>1</v>
      </c>
      <c r="P11">
        <v>1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84</v>
      </c>
      <c r="D12" t="s">
        <v>185</v>
      </c>
      <c r="E12">
        <v>1</v>
      </c>
      <c r="F12">
        <v>1</v>
      </c>
      <c r="K12">
        <v>4</v>
      </c>
      <c r="O12">
        <v>2</v>
      </c>
      <c r="P12">
        <v>2</v>
      </c>
      <c r="U12">
        <v>1</v>
      </c>
      <c r="W12" t="s">
        <v>186</v>
      </c>
      <c r="X12">
        <v>1</v>
      </c>
    </row>
    <row r="13" spans="1:66" x14ac:dyDescent="0.2">
      <c r="A13">
        <v>10</v>
      </c>
      <c r="B13">
        <v>92</v>
      </c>
      <c r="G13" t="s">
        <v>188</v>
      </c>
      <c r="H13">
        <v>1</v>
      </c>
      <c r="I13">
        <v>1</v>
      </c>
      <c r="K13">
        <v>5</v>
      </c>
      <c r="O13">
        <v>4</v>
      </c>
      <c r="P13">
        <v>4</v>
      </c>
      <c r="Q13">
        <v>1</v>
      </c>
      <c r="R13">
        <v>1</v>
      </c>
    </row>
    <row r="14" spans="1:66" x14ac:dyDescent="0.2">
      <c r="A14">
        <v>11</v>
      </c>
      <c r="B14">
        <v>110</v>
      </c>
      <c r="D14" t="s">
        <v>185</v>
      </c>
      <c r="E14">
        <v>1</v>
      </c>
      <c r="F14">
        <v>1</v>
      </c>
      <c r="J14">
        <v>2</v>
      </c>
      <c r="K14">
        <v>3</v>
      </c>
      <c r="O14">
        <v>5</v>
      </c>
      <c r="P14">
        <v>4</v>
      </c>
      <c r="U14">
        <v>1</v>
      </c>
      <c r="W14" t="s">
        <v>186</v>
      </c>
      <c r="X14">
        <v>1</v>
      </c>
    </row>
    <row r="15" spans="1:66" x14ac:dyDescent="0.2">
      <c r="A15">
        <v>12</v>
      </c>
      <c r="B15">
        <v>116</v>
      </c>
      <c r="G15" t="s">
        <v>185</v>
      </c>
      <c r="H15">
        <v>1</v>
      </c>
      <c r="I15">
        <v>1</v>
      </c>
      <c r="K15">
        <v>6</v>
      </c>
      <c r="L15">
        <v>4</v>
      </c>
      <c r="M15">
        <v>4</v>
      </c>
      <c r="Q15">
        <v>2</v>
      </c>
      <c r="R15">
        <v>2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3</v>
      </c>
      <c r="F16">
        <f>SUM(F4:F15)</f>
        <v>3</v>
      </c>
      <c r="H16">
        <f t="shared" ref="H16:P16" si="0">SUM(H4:H15)</f>
        <v>8</v>
      </c>
      <c r="I16">
        <f t="shared" si="0"/>
        <v>8</v>
      </c>
      <c r="J16">
        <f t="shared" si="0"/>
        <v>4</v>
      </c>
      <c r="K16">
        <f t="shared" si="0"/>
        <v>45</v>
      </c>
      <c r="L16">
        <f t="shared" si="0"/>
        <v>16</v>
      </c>
      <c r="M16">
        <f t="shared" si="0"/>
        <v>15</v>
      </c>
      <c r="N16">
        <f t="shared" si="0"/>
        <v>0</v>
      </c>
      <c r="O16">
        <f t="shared" si="0"/>
        <v>25</v>
      </c>
      <c r="P16">
        <f t="shared" si="0"/>
        <v>22</v>
      </c>
      <c r="Q16">
        <f>SUM(Q4:Q15)</f>
        <v>4</v>
      </c>
      <c r="R16">
        <f>SUM(R4:R15)</f>
        <v>4</v>
      </c>
      <c r="S16">
        <f>SUM(S4:S15)</f>
        <v>2</v>
      </c>
      <c r="T16">
        <v>0</v>
      </c>
      <c r="U16">
        <f>SUM(U4:U15)</f>
        <v>8</v>
      </c>
      <c r="V16">
        <f>SUM(V4:V15)</f>
        <v>4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0.88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0.33333333333333331</v>
      </c>
      <c r="O22">
        <f>MEDIAN(I54:I65)</f>
        <v>0</v>
      </c>
      <c r="P22">
        <f>MAX(I54:I65)</f>
        <v>2</v>
      </c>
      <c r="Q22">
        <f>_xlfn.STDEV.S(I54:I65)</f>
        <v>0.6513389472789296</v>
      </c>
      <c r="S22">
        <f>V16/U16</f>
        <v>0.5</v>
      </c>
      <c r="U22">
        <f>AA66/Y66</f>
        <v>0.42857142857142855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1.8333333333333333</v>
      </c>
      <c r="J24">
        <f>MAX(A54:A65)</f>
        <v>4</v>
      </c>
      <c r="K24">
        <f>_xlfn.STDEV.S(A54:A65)</f>
        <v>1.4668044012461754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3.75</v>
      </c>
      <c r="O25">
        <f>MEDIAN(K54:K65)</f>
        <v>3.5</v>
      </c>
      <c r="P25">
        <f>MAX(K54:K65)</f>
        <v>7</v>
      </c>
      <c r="Q25">
        <f>_xlfn.STDEV.S(K54:K65)</f>
        <v>1.764549903980152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0.25</v>
      </c>
      <c r="F26">
        <f>I16/A19</f>
        <v>0.66666666666666663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8.1632653061224483E-2</v>
      </c>
    </row>
    <row r="29" spans="1:66" x14ac:dyDescent="0.2">
      <c r="D29">
        <f>_xlfn.STDEV.S(A68:A79)</f>
        <v>0</v>
      </c>
      <c r="I29">
        <f>AVERAGE(C54:C65)</f>
        <v>0.33333333333333331</v>
      </c>
      <c r="J29">
        <f>MAX(C54:C65)</f>
        <v>2</v>
      </c>
      <c r="K29">
        <f>_xlfn.STDEV.S(C54:C65)</f>
        <v>0.6513389472789296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0.91836734693877553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0.9375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1.25</v>
      </c>
      <c r="J34">
        <f>MAX(E54:E65)</f>
        <v>4</v>
      </c>
      <c r="K34">
        <f>_xlfn.STDEV.S(E54:E65)</f>
        <v>1.864744681524183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</v>
      </c>
      <c r="J37">
        <f>MAX(G54:G65)</f>
        <v>0</v>
      </c>
      <c r="K37">
        <f>_xlfn.STDEV.S(G54:G65)</f>
        <v>0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3</v>
      </c>
      <c r="N54">
        <f t="shared" ref="N54:N65" si="7">IF($D4="d", $E4, "")</f>
        <v>1</v>
      </c>
      <c r="O54">
        <f t="shared" ref="O54:O65" si="8">IF($D4="d", $F4, "")</f>
        <v>1</v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0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4</v>
      </c>
      <c r="G55">
        <f t="shared" si="4"/>
        <v>0</v>
      </c>
      <c r="I55">
        <f t="shared" si="5"/>
        <v>0</v>
      </c>
      <c r="K55">
        <f t="shared" si="6"/>
        <v>7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0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2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4</v>
      </c>
      <c r="G58">
        <f t="shared" si="4"/>
        <v>0</v>
      </c>
      <c r="I58">
        <f t="shared" si="5"/>
        <v>0</v>
      </c>
      <c r="K58">
        <f t="shared" si="6"/>
        <v>4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2</v>
      </c>
      <c r="C59">
        <f t="shared" si="2"/>
        <v>1</v>
      </c>
      <c r="E59">
        <f t="shared" si="3"/>
        <v>3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2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1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1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4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0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1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2</v>
      </c>
      <c r="K64">
        <f t="shared" si="6"/>
        <v>3</v>
      </c>
      <c r="N64">
        <f t="shared" si="7"/>
        <v>1</v>
      </c>
      <c r="O64">
        <f t="shared" si="8"/>
        <v>1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0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2</v>
      </c>
      <c r="E65">
        <f t="shared" si="3"/>
        <v>4</v>
      </c>
      <c r="G65">
        <f t="shared" si="4"/>
        <v>0</v>
      </c>
      <c r="I65">
        <f t="shared" si="5"/>
        <v>0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3</v>
      </c>
      <c r="O66">
        <f>SUM(O54:O65)</f>
        <v>3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5</v>
      </c>
      <c r="V66">
        <f>SUM(V54:V65)</f>
        <v>5</v>
      </c>
      <c r="Y66">
        <f>SUM(Y54:Y65)</f>
        <v>7</v>
      </c>
      <c r="AA66">
        <f>SUM(AA54:AA65)</f>
        <v>3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4.333333333333333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1</v>
      </c>
      <c r="E70">
        <f t="shared" si="21"/>
        <v>4</v>
      </c>
      <c r="I70">
        <f t="shared" si="22"/>
        <v>0</v>
      </c>
      <c r="K70">
        <f t="shared" si="23"/>
        <v>0</v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3</v>
      </c>
      <c r="I71">
        <f t="shared" si="22"/>
        <v>0</v>
      </c>
      <c r="K71">
        <f t="shared" si="23"/>
        <v>0</v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5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7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2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2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6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5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2</v>
      </c>
      <c r="G4" t="s">
        <v>185</v>
      </c>
      <c r="H4">
        <v>1</v>
      </c>
      <c r="I4">
        <v>1</v>
      </c>
      <c r="K4">
        <v>5</v>
      </c>
      <c r="N4">
        <v>2</v>
      </c>
      <c r="O4">
        <v>1</v>
      </c>
      <c r="P4">
        <v>1</v>
      </c>
      <c r="Q4">
        <v>1</v>
      </c>
      <c r="R4">
        <v>1</v>
      </c>
      <c r="X4">
        <v>1</v>
      </c>
    </row>
    <row r="5" spans="1:66" x14ac:dyDescent="0.2">
      <c r="A5">
        <v>2</v>
      </c>
      <c r="B5">
        <v>13</v>
      </c>
      <c r="D5" t="s">
        <v>185</v>
      </c>
      <c r="K5">
        <v>5</v>
      </c>
      <c r="N5">
        <v>1</v>
      </c>
      <c r="O5">
        <v>3</v>
      </c>
      <c r="P5">
        <v>3</v>
      </c>
      <c r="Q5">
        <v>1</v>
      </c>
      <c r="R5">
        <v>1</v>
      </c>
      <c r="X5">
        <v>1</v>
      </c>
    </row>
    <row r="6" spans="1:66" x14ac:dyDescent="0.2">
      <c r="A6">
        <v>3</v>
      </c>
      <c r="B6">
        <v>29</v>
      </c>
      <c r="C6">
        <v>1</v>
      </c>
      <c r="G6" t="s">
        <v>185</v>
      </c>
      <c r="H6">
        <v>1</v>
      </c>
      <c r="J6">
        <v>1</v>
      </c>
      <c r="Q6">
        <v>1</v>
      </c>
      <c r="R6">
        <v>1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34</v>
      </c>
      <c r="G7" t="s">
        <v>185</v>
      </c>
      <c r="H7">
        <v>1</v>
      </c>
      <c r="I7">
        <v>1</v>
      </c>
      <c r="M7">
        <v>5</v>
      </c>
      <c r="N7">
        <v>5</v>
      </c>
      <c r="X7">
        <v>1</v>
      </c>
    </row>
    <row r="8" spans="1:66" x14ac:dyDescent="0.2">
      <c r="A8">
        <v>5</v>
      </c>
      <c r="B8">
        <v>50</v>
      </c>
      <c r="J8">
        <v>1</v>
      </c>
      <c r="K8">
        <v>3</v>
      </c>
      <c r="O8">
        <v>4</v>
      </c>
      <c r="P8">
        <v>4</v>
      </c>
      <c r="U8">
        <v>1</v>
      </c>
      <c r="V8">
        <v>1</v>
      </c>
      <c r="W8" t="s">
        <v>186</v>
      </c>
      <c r="Y8">
        <v>1</v>
      </c>
    </row>
    <row r="9" spans="1:66" x14ac:dyDescent="0.2">
      <c r="A9">
        <v>6</v>
      </c>
      <c r="B9">
        <v>60</v>
      </c>
      <c r="K9">
        <v>4</v>
      </c>
      <c r="O9">
        <v>5</v>
      </c>
      <c r="P9">
        <v>4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69</v>
      </c>
      <c r="K10">
        <v>5</v>
      </c>
      <c r="O10">
        <v>4</v>
      </c>
      <c r="P10">
        <v>4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76</v>
      </c>
      <c r="K11">
        <v>4</v>
      </c>
      <c r="O11">
        <v>5</v>
      </c>
      <c r="P11">
        <v>3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81</v>
      </c>
      <c r="C12">
        <v>1</v>
      </c>
      <c r="K12">
        <v>3</v>
      </c>
      <c r="O12">
        <v>1</v>
      </c>
      <c r="P12">
        <v>1</v>
      </c>
      <c r="Q12">
        <v>3</v>
      </c>
      <c r="R12">
        <v>2</v>
      </c>
      <c r="U12">
        <v>1</v>
      </c>
      <c r="V12">
        <v>1</v>
      </c>
      <c r="W12" t="s">
        <v>189</v>
      </c>
    </row>
    <row r="13" spans="1:66" x14ac:dyDescent="0.2">
      <c r="A13">
        <v>10</v>
      </c>
      <c r="B13">
        <v>93</v>
      </c>
      <c r="C13">
        <v>1</v>
      </c>
      <c r="G13" t="s">
        <v>185</v>
      </c>
      <c r="H13">
        <v>1</v>
      </c>
      <c r="I13">
        <v>1</v>
      </c>
      <c r="K13">
        <v>4</v>
      </c>
      <c r="O13">
        <v>3</v>
      </c>
      <c r="P13">
        <v>3</v>
      </c>
      <c r="Q13">
        <v>1</v>
      </c>
      <c r="U13">
        <v>1</v>
      </c>
      <c r="V13">
        <v>1</v>
      </c>
      <c r="W13" t="s">
        <v>189</v>
      </c>
    </row>
    <row r="14" spans="1:66" x14ac:dyDescent="0.2">
      <c r="A14">
        <v>11</v>
      </c>
      <c r="B14">
        <v>104</v>
      </c>
      <c r="C14">
        <v>1</v>
      </c>
      <c r="K14">
        <v>4</v>
      </c>
      <c r="O14">
        <v>4</v>
      </c>
      <c r="P14">
        <v>2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116</v>
      </c>
      <c r="K15">
        <v>3</v>
      </c>
      <c r="O15">
        <v>4</v>
      </c>
      <c r="P15">
        <v>3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4</v>
      </c>
      <c r="I16">
        <f t="shared" si="0"/>
        <v>3</v>
      </c>
      <c r="J16">
        <f t="shared" si="0"/>
        <v>2</v>
      </c>
      <c r="K16">
        <f t="shared" si="0"/>
        <v>40</v>
      </c>
      <c r="L16">
        <f t="shared" si="0"/>
        <v>0</v>
      </c>
      <c r="M16">
        <f t="shared" si="0"/>
        <v>5</v>
      </c>
      <c r="N16">
        <f t="shared" si="0"/>
        <v>8</v>
      </c>
      <c r="O16">
        <f t="shared" si="0"/>
        <v>34</v>
      </c>
      <c r="P16">
        <f t="shared" si="0"/>
        <v>28</v>
      </c>
      <c r="Q16">
        <f>SUM(Q4:Q15)</f>
        <v>7</v>
      </c>
      <c r="R16">
        <f>SUM(R4:R15)</f>
        <v>5</v>
      </c>
      <c r="S16">
        <f>SUM(S4:S15)</f>
        <v>0</v>
      </c>
      <c r="T16">
        <v>0</v>
      </c>
      <c r="U16">
        <f>SUM(U4:U15)</f>
        <v>9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1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0.75</v>
      </c>
      <c r="I20" t="s">
        <v>41</v>
      </c>
      <c r="N20" t="s">
        <v>29</v>
      </c>
      <c r="S20" t="e">
        <f>T16/S16</f>
        <v>#DIV/0!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0.82352941176470584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0.75</v>
      </c>
      <c r="I22" t="s">
        <v>23</v>
      </c>
      <c r="N22">
        <f>AVERAGE(I54:I65)</f>
        <v>0.16666666666666666</v>
      </c>
      <c r="O22">
        <f>MEDIAN(I54:I65)</f>
        <v>0</v>
      </c>
      <c r="P22">
        <f>MAX(I54:I65)</f>
        <v>1</v>
      </c>
      <c r="Q22">
        <f>_xlfn.STDEV.S(I54:I65)</f>
        <v>0.38924947208076149</v>
      </c>
      <c r="S22">
        <f>V16/U16</f>
        <v>0.88888888888888884</v>
      </c>
      <c r="U22">
        <f>AA66/Y66</f>
        <v>0.8571428571428571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2.3333333333333335</v>
      </c>
      <c r="J24">
        <f>MAX(A54:A65)</f>
        <v>4</v>
      </c>
      <c r="K24">
        <f>_xlfn.STDEV.S(A54:A65)</f>
        <v>1.4974726182552529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3.3333333333333335</v>
      </c>
      <c r="O25">
        <f>MEDIAN(K54:K65)</f>
        <v>4</v>
      </c>
      <c r="P25">
        <f>MAX(K54:K65)</f>
        <v>5</v>
      </c>
      <c r="Q25">
        <f>_xlfn.STDEV.S(K54:K65)</f>
        <v>1.723280873710658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0.25</v>
      </c>
      <c r="I26">
        <f>R16/Q16</f>
        <v>0.7142857142857143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</v>
      </c>
      <c r="T27">
        <f>MAX(Y4:Y15)</f>
        <v>1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4.7619047619047616E-2</v>
      </c>
    </row>
    <row r="29" spans="1:66" x14ac:dyDescent="0.2">
      <c r="D29">
        <f>_xlfn.STDEV.S(A68:A79)</f>
        <v>0.5</v>
      </c>
      <c r="I29">
        <f>AVERAGE(C54:C65)</f>
        <v>0.41666666666666669</v>
      </c>
      <c r="J29">
        <f>MAX(C54:C65)</f>
        <v>2</v>
      </c>
      <c r="K29">
        <f>_xlfn.STDEV.S(C54:C65)</f>
        <v>0.66855792342152143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0.95238095238095233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0.41666666666666669</v>
      </c>
      <c r="J34">
        <f>MAX(E54:E65)</f>
        <v>5</v>
      </c>
      <c r="K34">
        <f>_xlfn.STDEV.S(E54:E65)</f>
        <v>1.4433756729740645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0.66666666666666663</v>
      </c>
      <c r="J37">
        <f>MAX(G54:G65)</f>
        <v>5</v>
      </c>
      <c r="K37">
        <f>_xlfn.STDEV.S(G54:G65)</f>
        <v>1.4974726182552529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2</v>
      </c>
      <c r="I54">
        <f t="shared" ref="I54:I65" si="5">IF(ISBLANK(B4),"",J4)</f>
        <v>0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1</v>
      </c>
      <c r="E55">
        <f t="shared" si="3"/>
        <v>0</v>
      </c>
      <c r="G55">
        <f t="shared" si="4"/>
        <v>1</v>
      </c>
      <c r="I55">
        <f t="shared" si="5"/>
        <v>0</v>
      </c>
      <c r="K55">
        <f t="shared" si="6"/>
        <v>5</v>
      </c>
      <c r="N55">
        <f t="shared" si="7"/>
        <v>0</v>
      </c>
      <c r="O55">
        <f t="shared" si="8"/>
        <v>0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0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0</v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5</v>
      </c>
      <c r="G57">
        <f t="shared" si="4"/>
        <v>5</v>
      </c>
      <c r="I57">
        <f t="shared" si="5"/>
        <v>0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1</v>
      </c>
      <c r="K58">
        <f t="shared" si="6"/>
        <v>3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4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4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5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2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>
        <f t="shared" si="17"/>
        <v>1</v>
      </c>
      <c r="AE62">
        <f t="shared" si="18"/>
        <v>1</v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4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1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>
        <f t="shared" si="17"/>
        <v>1</v>
      </c>
      <c r="AE63">
        <f t="shared" si="18"/>
        <v>1</v>
      </c>
    </row>
    <row r="64" spans="1:44" x14ac:dyDescent="0.2">
      <c r="A64">
        <f t="shared" si="1"/>
        <v>2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3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3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4</v>
      </c>
      <c r="T66">
        <f>SUM(T54:T65)</f>
        <v>3</v>
      </c>
      <c r="U66">
        <f>SUM(U54:U65)</f>
        <v>0</v>
      </c>
      <c r="V66">
        <f>SUM(V54:V65)</f>
        <v>0</v>
      </c>
      <c r="Y66">
        <f>SUM(Y54:Y65)</f>
        <v>7</v>
      </c>
      <c r="AA66">
        <f>SUM(AA54:AA65)</f>
        <v>6</v>
      </c>
      <c r="AC66">
        <f>SUM(AC54:AC65)</f>
        <v>2</v>
      </c>
      <c r="AE66">
        <f>SUM(AE54:AE65)</f>
        <v>2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3</v>
      </c>
      <c r="G68">
        <f>AVERAGE(E68:E79)</f>
        <v>3.4166666666666665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0</v>
      </c>
      <c r="C70">
        <f t="shared" si="20"/>
        <v>1</v>
      </c>
      <c r="E70">
        <f t="shared" si="21"/>
        <v>1</v>
      </c>
      <c r="I70">
        <f t="shared" si="22"/>
        <v>0</v>
      </c>
      <c r="K70">
        <f t="shared" si="23"/>
        <v>0</v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6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4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4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3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3</v>
      </c>
      <c r="I76">
        <f t="shared" si="22"/>
        <v>0</v>
      </c>
      <c r="K76">
        <f t="shared" si="23"/>
        <v>0</v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4</v>
      </c>
      <c r="I77">
        <f t="shared" si="22"/>
        <v>0</v>
      </c>
      <c r="K77">
        <f t="shared" si="23"/>
        <v>0</v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2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3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D4" t="s">
        <v>188</v>
      </c>
      <c r="E4">
        <v>2</v>
      </c>
      <c r="F4">
        <v>1</v>
      </c>
      <c r="J4">
        <v>1</v>
      </c>
      <c r="K4">
        <v>5</v>
      </c>
      <c r="O4">
        <v>5</v>
      </c>
      <c r="P4">
        <v>5</v>
      </c>
      <c r="Q4">
        <v>1</v>
      </c>
      <c r="R4">
        <v>1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12</v>
      </c>
      <c r="D5" t="s">
        <v>188</v>
      </c>
      <c r="E5">
        <v>1</v>
      </c>
      <c r="F5">
        <v>1</v>
      </c>
      <c r="J5">
        <v>1</v>
      </c>
      <c r="K5">
        <v>4</v>
      </c>
      <c r="N5">
        <v>4</v>
      </c>
      <c r="O5">
        <v>1</v>
      </c>
      <c r="P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22</v>
      </c>
      <c r="J6">
        <v>1</v>
      </c>
      <c r="K6">
        <v>5</v>
      </c>
      <c r="O6">
        <v>6</v>
      </c>
      <c r="P6">
        <v>6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33</v>
      </c>
      <c r="D7" t="s">
        <v>185</v>
      </c>
      <c r="E7">
        <v>2</v>
      </c>
      <c r="F7">
        <v>2</v>
      </c>
      <c r="J7">
        <v>3</v>
      </c>
      <c r="K7">
        <v>4</v>
      </c>
      <c r="N7">
        <v>3</v>
      </c>
      <c r="O7">
        <v>2</v>
      </c>
      <c r="P7">
        <v>2</v>
      </c>
      <c r="U7">
        <v>1</v>
      </c>
      <c r="V7">
        <v>1</v>
      </c>
      <c r="W7" t="s">
        <v>189</v>
      </c>
    </row>
    <row r="8" spans="1:66" x14ac:dyDescent="0.2">
      <c r="A8">
        <v>5</v>
      </c>
      <c r="B8">
        <v>49</v>
      </c>
      <c r="C8">
        <v>1</v>
      </c>
      <c r="G8" t="s">
        <v>188</v>
      </c>
      <c r="H8">
        <v>1</v>
      </c>
      <c r="I8">
        <v>1</v>
      </c>
      <c r="J8">
        <v>1</v>
      </c>
      <c r="K8">
        <v>5</v>
      </c>
      <c r="N8">
        <v>1</v>
      </c>
      <c r="O8">
        <v>5</v>
      </c>
      <c r="P8">
        <v>5</v>
      </c>
      <c r="U8">
        <v>1</v>
      </c>
      <c r="V8">
        <v>1</v>
      </c>
      <c r="W8" t="s">
        <v>186</v>
      </c>
      <c r="Y8">
        <v>1</v>
      </c>
    </row>
    <row r="9" spans="1:66" x14ac:dyDescent="0.2">
      <c r="A9">
        <v>6</v>
      </c>
      <c r="B9">
        <v>58</v>
      </c>
      <c r="D9" t="s">
        <v>188</v>
      </c>
      <c r="E9">
        <v>1</v>
      </c>
      <c r="F9">
        <v>1</v>
      </c>
      <c r="J9">
        <v>1</v>
      </c>
      <c r="K9">
        <v>6</v>
      </c>
      <c r="N9">
        <v>2</v>
      </c>
      <c r="O9">
        <v>4</v>
      </c>
      <c r="P9">
        <v>4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67</v>
      </c>
      <c r="C10">
        <v>1</v>
      </c>
      <c r="D10" t="s">
        <v>188</v>
      </c>
      <c r="E10">
        <v>1</v>
      </c>
      <c r="F10">
        <v>1</v>
      </c>
      <c r="K10">
        <v>6</v>
      </c>
      <c r="O10">
        <v>6</v>
      </c>
      <c r="P10">
        <v>4</v>
      </c>
      <c r="U10">
        <v>1</v>
      </c>
      <c r="W10" t="s">
        <v>186</v>
      </c>
      <c r="X10">
        <v>1</v>
      </c>
      <c r="Y10">
        <v>1</v>
      </c>
    </row>
    <row r="11" spans="1:66" x14ac:dyDescent="0.2">
      <c r="A11">
        <v>8</v>
      </c>
      <c r="B11">
        <v>74</v>
      </c>
      <c r="C11">
        <v>1</v>
      </c>
      <c r="D11" t="s">
        <v>188</v>
      </c>
      <c r="E11">
        <v>1</v>
      </c>
      <c r="F11">
        <v>1</v>
      </c>
      <c r="J11">
        <v>2</v>
      </c>
      <c r="K11">
        <v>5</v>
      </c>
      <c r="O11">
        <v>7</v>
      </c>
      <c r="P11">
        <v>6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81</v>
      </c>
      <c r="J12">
        <v>1</v>
      </c>
      <c r="K12">
        <v>4</v>
      </c>
      <c r="N12">
        <v>3</v>
      </c>
      <c r="O12">
        <v>3</v>
      </c>
      <c r="P12">
        <v>3</v>
      </c>
      <c r="U12">
        <v>1</v>
      </c>
      <c r="V12">
        <v>1</v>
      </c>
      <c r="W12" t="s">
        <v>186</v>
      </c>
      <c r="Y12">
        <v>1</v>
      </c>
    </row>
    <row r="13" spans="1:66" x14ac:dyDescent="0.2">
      <c r="A13">
        <v>10</v>
      </c>
      <c r="B13">
        <v>100</v>
      </c>
      <c r="J13">
        <v>3</v>
      </c>
      <c r="K13">
        <v>2</v>
      </c>
      <c r="O13">
        <v>4</v>
      </c>
      <c r="P13">
        <v>4</v>
      </c>
      <c r="U13">
        <v>1</v>
      </c>
      <c r="V13">
        <v>1</v>
      </c>
      <c r="W13" t="s">
        <v>186</v>
      </c>
      <c r="Y13">
        <v>1</v>
      </c>
    </row>
    <row r="14" spans="1:66" x14ac:dyDescent="0.2">
      <c r="A14">
        <v>11</v>
      </c>
      <c r="B14">
        <v>106</v>
      </c>
      <c r="G14" t="s">
        <v>185</v>
      </c>
      <c r="H14">
        <v>1</v>
      </c>
      <c r="I14">
        <v>1</v>
      </c>
      <c r="J14">
        <v>3</v>
      </c>
      <c r="K14">
        <v>3</v>
      </c>
      <c r="O14">
        <v>6</v>
      </c>
      <c r="P14">
        <v>4</v>
      </c>
      <c r="U14">
        <v>1</v>
      </c>
      <c r="V14">
        <v>1</v>
      </c>
      <c r="W14" t="s">
        <v>186</v>
      </c>
      <c r="Y14">
        <v>1</v>
      </c>
    </row>
    <row r="15" spans="1:66" x14ac:dyDescent="0.2">
      <c r="A15">
        <v>12</v>
      </c>
      <c r="B15">
        <v>111</v>
      </c>
      <c r="D15" t="s">
        <v>185</v>
      </c>
      <c r="E15">
        <v>2</v>
      </c>
      <c r="F15">
        <v>2</v>
      </c>
      <c r="J15">
        <v>1</v>
      </c>
      <c r="K15">
        <v>3</v>
      </c>
      <c r="O15">
        <v>4</v>
      </c>
      <c r="P15">
        <v>4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3</v>
      </c>
      <c r="E16">
        <f>SUM(E4:E15)</f>
        <v>10</v>
      </c>
      <c r="F16">
        <f>SUM(F4:F15)</f>
        <v>9</v>
      </c>
      <c r="H16">
        <f t="shared" ref="H16:P16" si="0">SUM(H4:H15)</f>
        <v>2</v>
      </c>
      <c r="I16">
        <f t="shared" si="0"/>
        <v>2</v>
      </c>
      <c r="J16">
        <f t="shared" si="0"/>
        <v>18</v>
      </c>
      <c r="K16">
        <f t="shared" si="0"/>
        <v>52</v>
      </c>
      <c r="L16">
        <f t="shared" si="0"/>
        <v>0</v>
      </c>
      <c r="M16">
        <f t="shared" si="0"/>
        <v>0</v>
      </c>
      <c r="N16">
        <f t="shared" si="0"/>
        <v>13</v>
      </c>
      <c r="O16">
        <f t="shared" si="0"/>
        <v>53</v>
      </c>
      <c r="P16">
        <f t="shared" si="0"/>
        <v>48</v>
      </c>
      <c r="Q16">
        <f>SUM(Q4:Q15)</f>
        <v>1</v>
      </c>
      <c r="R16">
        <f>SUM(R4:R15)</f>
        <v>1</v>
      </c>
      <c r="S16">
        <f>SUM(S4:S15)</f>
        <v>2</v>
      </c>
      <c r="T16">
        <v>0</v>
      </c>
      <c r="U16">
        <f>SUM(U4:U15)</f>
        <v>10</v>
      </c>
      <c r="V16">
        <f>SUM(V4:V15)</f>
        <v>8</v>
      </c>
      <c r="W16">
        <f>SUM(W4:W15)</f>
        <v>0</v>
      </c>
      <c r="X16">
        <f>SUM(X4:X15)</f>
        <v>4</v>
      </c>
      <c r="Y16">
        <f>SUM(Y4:Y15)</f>
        <v>5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0.90566037735849059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1.5</v>
      </c>
      <c r="O22">
        <f>MEDIAN(I54:I65)</f>
        <v>1</v>
      </c>
      <c r="P22">
        <f>MAX(I54:I65)</f>
        <v>3</v>
      </c>
      <c r="Q22">
        <f>_xlfn.STDEV.S(I54:I65)</f>
        <v>1</v>
      </c>
      <c r="S22">
        <f>V16/U16</f>
        <v>0.8</v>
      </c>
      <c r="U22">
        <f>AA66/Y66</f>
        <v>0.77777777777777779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0.83333333333333337</v>
      </c>
      <c r="F24">
        <f>V66/U66</f>
        <v>1</v>
      </c>
      <c r="I24">
        <f>AVERAGE(A54:A65)</f>
        <v>4</v>
      </c>
      <c r="J24">
        <f>MAX(A54:A65)</f>
        <v>6</v>
      </c>
      <c r="K24">
        <f>_xlfn.STDEV.S(A54:A65)</f>
        <v>1.4770978917519928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0.66666666666666663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4.333333333333333</v>
      </c>
      <c r="O25">
        <f>MEDIAN(K54:K65)</f>
        <v>4.5</v>
      </c>
      <c r="P25">
        <f>MAX(K54:K65)</f>
        <v>6</v>
      </c>
      <c r="Q25">
        <f>_xlfn.STDEV.S(K54:K65)</f>
        <v>1.230914909793327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0.75</v>
      </c>
      <c r="F26">
        <f>I16/A19</f>
        <v>0.16666666666666666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</v>
      </c>
      <c r="T27">
        <f>MAX(Y4:Y15)</f>
        <v>1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0.25714285714285712</v>
      </c>
    </row>
    <row r="29" spans="1:66" x14ac:dyDescent="0.2">
      <c r="D29">
        <f>_xlfn.STDEV.S(A68:A79)</f>
        <v>0</v>
      </c>
      <c r="I29">
        <f>AVERAGE(C54:C65)</f>
        <v>8.3333333333333329E-2</v>
      </c>
      <c r="J29">
        <f>MAX(C54:C65)</f>
        <v>1</v>
      </c>
      <c r="K29">
        <f>_xlfn.STDEV.S(C54:C65)</f>
        <v>0.28867513459481287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0.74285714285714288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>
        <f>D94/B94</f>
        <v>0.83333333333333337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</v>
      </c>
      <c r="J34">
        <f>MAX(E54:E65)</f>
        <v>0</v>
      </c>
      <c r="K34">
        <f>_xlfn.STDEV.S(E54:E65)</f>
        <v>0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1.0833333333333333</v>
      </c>
      <c r="J37">
        <f>MAX(G54:G65)</f>
        <v>4</v>
      </c>
      <c r="K37">
        <f>_xlfn.STDEV.S(G54:G65)</f>
        <v>1.5050420310248864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>
        <f t="shared" ref="P54:P65" si="9">IF($D4="i", $E4, "")</f>
        <v>2</v>
      </c>
      <c r="Q54">
        <f t="shared" ref="Q54:Q65" si="10">IF($D4="i", $F4, "")</f>
        <v>1</v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0</v>
      </c>
      <c r="G55">
        <f t="shared" si="4"/>
        <v>4</v>
      </c>
      <c r="I55">
        <f t="shared" si="5"/>
        <v>1</v>
      </c>
      <c r="K55">
        <f t="shared" si="6"/>
        <v>4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1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6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1</v>
      </c>
      <c r="K56">
        <f t="shared" si="6"/>
        <v>5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0</v>
      </c>
      <c r="G57">
        <f t="shared" si="4"/>
        <v>3</v>
      </c>
      <c r="I57">
        <f t="shared" si="5"/>
        <v>3</v>
      </c>
      <c r="K57">
        <f t="shared" si="6"/>
        <v>4</v>
      </c>
      <c r="N57">
        <f t="shared" si="7"/>
        <v>2</v>
      </c>
      <c r="O57">
        <f t="shared" si="8"/>
        <v>2</v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>
        <f t="shared" si="17"/>
        <v>1</v>
      </c>
      <c r="AE57">
        <f t="shared" si="18"/>
        <v>1</v>
      </c>
    </row>
    <row r="58" spans="1:44" x14ac:dyDescent="0.2">
      <c r="A58">
        <f t="shared" si="1"/>
        <v>5</v>
      </c>
      <c r="C58">
        <f t="shared" si="2"/>
        <v>0</v>
      </c>
      <c r="E58">
        <f t="shared" si="3"/>
        <v>0</v>
      </c>
      <c r="G58">
        <f t="shared" si="4"/>
        <v>1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2</v>
      </c>
      <c r="I59">
        <f t="shared" si="5"/>
        <v>1</v>
      </c>
      <c r="K59">
        <f t="shared" si="6"/>
        <v>6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1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4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>
        <f t="shared" si="9"/>
        <v>1</v>
      </c>
      <c r="Q60">
        <f t="shared" si="10"/>
        <v>1</v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6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2</v>
      </c>
      <c r="K61">
        <f t="shared" si="6"/>
        <v>5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0</v>
      </c>
      <c r="E62">
        <f t="shared" si="3"/>
        <v>0</v>
      </c>
      <c r="G62">
        <f t="shared" si="4"/>
        <v>3</v>
      </c>
      <c r="I62">
        <f t="shared" si="5"/>
        <v>1</v>
      </c>
      <c r="K62">
        <f t="shared" si="6"/>
        <v>4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3</v>
      </c>
      <c r="K63">
        <f t="shared" si="6"/>
        <v>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3</v>
      </c>
      <c r="K64">
        <f t="shared" si="6"/>
        <v>3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4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3</v>
      </c>
      <c r="N65">
        <f t="shared" si="7"/>
        <v>2</v>
      </c>
      <c r="O65">
        <f t="shared" si="8"/>
        <v>2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4</v>
      </c>
      <c r="O66">
        <f>SUM(O54:O65)</f>
        <v>4</v>
      </c>
      <c r="P66">
        <f>SUM(P54:P65)</f>
        <v>6</v>
      </c>
      <c r="Q66">
        <f>SUM(Q54:Q65)</f>
        <v>5</v>
      </c>
      <c r="S66">
        <f>SUM(S54:S65)</f>
        <v>1</v>
      </c>
      <c r="T66">
        <f>SUM(T54:T65)</f>
        <v>1</v>
      </c>
      <c r="U66">
        <f>SUM(U54:U65)</f>
        <v>1</v>
      </c>
      <c r="V66">
        <f>SUM(V54:V65)</f>
        <v>1</v>
      </c>
      <c r="Y66">
        <f>SUM(Y54:Y65)</f>
        <v>9</v>
      </c>
      <c r="AA66">
        <f>SUM(AA54:AA65)</f>
        <v>7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7</v>
      </c>
      <c r="G68">
        <f>AVERAGE(E68:E79)</f>
        <v>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2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6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6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5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5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1</v>
      </c>
      <c r="E75">
        <f t="shared" si="21"/>
        <v>7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1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5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6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>
        <f>IF(E4 &gt;= 2, 2, "")</f>
        <v>2</v>
      </c>
      <c r="D82">
        <f>IF(E4 &gt;= 2, IF(F4 &gt; 2, 2, F4), "")</f>
        <v>1</v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>
        <f t="shared" si="24"/>
        <v>2</v>
      </c>
      <c r="D85">
        <f t="shared" si="25"/>
        <v>2</v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>
        <f t="shared" si="24"/>
        <v>2</v>
      </c>
      <c r="D93">
        <f t="shared" si="25"/>
        <v>2</v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6</v>
      </c>
      <c r="D94">
        <f>SUM(D82:D93)</f>
        <v>5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BN94"/>
  <sheetViews>
    <sheetView topLeftCell="V1" workbookViewId="0">
      <selection activeCell="W12" sqref="W1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C4">
        <v>1</v>
      </c>
      <c r="K4">
        <v>4</v>
      </c>
      <c r="O4">
        <v>5</v>
      </c>
      <c r="P4">
        <v>4</v>
      </c>
      <c r="U4">
        <v>1</v>
      </c>
      <c r="V4">
        <v>1</v>
      </c>
      <c r="W4" t="s">
        <v>186</v>
      </c>
      <c r="Y4">
        <v>1</v>
      </c>
    </row>
    <row r="5" spans="1:66" x14ac:dyDescent="0.2">
      <c r="A5">
        <v>2</v>
      </c>
      <c r="B5">
        <v>14</v>
      </c>
      <c r="K5">
        <v>5</v>
      </c>
      <c r="O5">
        <v>5</v>
      </c>
      <c r="P5">
        <v>4</v>
      </c>
      <c r="Q5">
        <v>1</v>
      </c>
      <c r="R5">
        <v>1</v>
      </c>
      <c r="S5">
        <v>1</v>
      </c>
      <c r="T5">
        <v>1</v>
      </c>
      <c r="U5">
        <v>1</v>
      </c>
      <c r="W5" t="s">
        <v>186</v>
      </c>
      <c r="X5">
        <v>1</v>
      </c>
    </row>
    <row r="6" spans="1:66" x14ac:dyDescent="0.2">
      <c r="A6">
        <v>3</v>
      </c>
      <c r="B6">
        <v>21</v>
      </c>
      <c r="K6">
        <v>8</v>
      </c>
      <c r="L6">
        <v>3</v>
      </c>
      <c r="M6">
        <v>3</v>
      </c>
      <c r="Q6">
        <v>6</v>
      </c>
      <c r="R6">
        <v>6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31</v>
      </c>
      <c r="K7">
        <v>5</v>
      </c>
      <c r="O7">
        <v>5</v>
      </c>
      <c r="P7">
        <v>4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47</v>
      </c>
      <c r="C8">
        <v>1</v>
      </c>
      <c r="G8" t="s">
        <v>185</v>
      </c>
      <c r="H8">
        <v>1</v>
      </c>
      <c r="I8">
        <v>1</v>
      </c>
      <c r="K8">
        <v>5</v>
      </c>
      <c r="L8">
        <v>5</v>
      </c>
      <c r="M8">
        <v>5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58</v>
      </c>
      <c r="K9">
        <v>5</v>
      </c>
      <c r="L9">
        <v>3</v>
      </c>
      <c r="M9">
        <v>3</v>
      </c>
      <c r="Q9">
        <v>3</v>
      </c>
      <c r="R9">
        <v>3</v>
      </c>
      <c r="U9">
        <v>1</v>
      </c>
      <c r="W9" t="s">
        <v>189</v>
      </c>
      <c r="X9">
        <v>1</v>
      </c>
    </row>
    <row r="10" spans="1:66" x14ac:dyDescent="0.2">
      <c r="A10">
        <v>7</v>
      </c>
      <c r="B10">
        <v>63</v>
      </c>
      <c r="K10">
        <v>6</v>
      </c>
      <c r="L10">
        <v>5</v>
      </c>
      <c r="M10">
        <v>4</v>
      </c>
      <c r="Q10">
        <v>3</v>
      </c>
      <c r="R10">
        <v>3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73</v>
      </c>
      <c r="G11" t="s">
        <v>185</v>
      </c>
      <c r="H11">
        <v>1</v>
      </c>
      <c r="I11">
        <v>1</v>
      </c>
      <c r="K11">
        <v>5</v>
      </c>
      <c r="L11">
        <v>5</v>
      </c>
      <c r="M11">
        <v>5</v>
      </c>
      <c r="X11">
        <v>1</v>
      </c>
    </row>
    <row r="12" spans="1:66" x14ac:dyDescent="0.2">
      <c r="A12">
        <v>9</v>
      </c>
      <c r="B12">
        <v>89</v>
      </c>
      <c r="C12">
        <v>1</v>
      </c>
      <c r="K12">
        <v>1</v>
      </c>
      <c r="O12">
        <v>2</v>
      </c>
      <c r="P12">
        <v>2</v>
      </c>
      <c r="S12">
        <v>1</v>
      </c>
      <c r="T12">
        <v>1</v>
      </c>
    </row>
    <row r="13" spans="1:66" x14ac:dyDescent="0.2">
      <c r="A13">
        <v>10</v>
      </c>
      <c r="B13">
        <v>97</v>
      </c>
      <c r="K13">
        <v>10</v>
      </c>
      <c r="L13">
        <v>8</v>
      </c>
      <c r="M13">
        <v>8</v>
      </c>
      <c r="Q13">
        <v>2</v>
      </c>
      <c r="R13">
        <v>2</v>
      </c>
      <c r="X13">
        <v>1</v>
      </c>
    </row>
    <row r="14" spans="1:66" x14ac:dyDescent="0.2">
      <c r="A14">
        <v>11</v>
      </c>
      <c r="B14">
        <v>105</v>
      </c>
      <c r="C14">
        <v>1</v>
      </c>
      <c r="K14">
        <v>7</v>
      </c>
      <c r="L14">
        <v>7</v>
      </c>
      <c r="M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119</v>
      </c>
      <c r="K15">
        <v>4</v>
      </c>
      <c r="N15">
        <v>1</v>
      </c>
      <c r="Q15">
        <v>3</v>
      </c>
      <c r="R15">
        <v>3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2</v>
      </c>
      <c r="I16">
        <f t="shared" si="0"/>
        <v>2</v>
      </c>
      <c r="J16">
        <f t="shared" si="0"/>
        <v>0</v>
      </c>
      <c r="K16">
        <f t="shared" si="0"/>
        <v>65</v>
      </c>
      <c r="L16">
        <f t="shared" si="0"/>
        <v>36</v>
      </c>
      <c r="M16">
        <f t="shared" si="0"/>
        <v>32</v>
      </c>
      <c r="N16">
        <f t="shared" si="0"/>
        <v>1</v>
      </c>
      <c r="O16">
        <f t="shared" si="0"/>
        <v>17</v>
      </c>
      <c r="P16">
        <f t="shared" si="0"/>
        <v>14</v>
      </c>
      <c r="Q16">
        <f>SUM(Q4:Q15)</f>
        <v>18</v>
      </c>
      <c r="R16">
        <f>SUM(R4:R15)</f>
        <v>18</v>
      </c>
      <c r="S16">
        <f>SUM(S4:S15)</f>
        <v>3</v>
      </c>
      <c r="T16">
        <v>0</v>
      </c>
      <c r="U16">
        <f>SUM(U4:U15)</f>
        <v>7</v>
      </c>
      <c r="V16">
        <f>SUM(V4:V15)</f>
        <v>5</v>
      </c>
      <c r="W16">
        <f>SUM(W4:W15)</f>
        <v>0</v>
      </c>
      <c r="X16">
        <f>SUM(X4:X15)</f>
        <v>6</v>
      </c>
      <c r="Y16">
        <f>SUM(Y4:Y15)</f>
        <v>1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0.82352941176470584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</v>
      </c>
      <c r="O22">
        <f>MEDIAN(I54:I65)</f>
        <v>0</v>
      </c>
      <c r="P22">
        <f>MAX(I54:I65)</f>
        <v>0</v>
      </c>
      <c r="Q22">
        <f>_xlfn.STDEV.S(I54:I65)</f>
        <v>0</v>
      </c>
      <c r="S22">
        <f>V16/U16</f>
        <v>0.7142857142857143</v>
      </c>
      <c r="U22">
        <f>AA66/Y66</f>
        <v>0.83333333333333337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1.1666666666666667</v>
      </c>
      <c r="J24">
        <f>MAX(A54:A65)</f>
        <v>4</v>
      </c>
      <c r="K24">
        <f>_xlfn.STDEV.S(A54:A65)</f>
        <v>1.80067327475704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0.41666666666666669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5.416666666666667</v>
      </c>
      <c r="O25">
        <f>MEDIAN(K54:K65)</f>
        <v>5</v>
      </c>
      <c r="P25">
        <f>MAX(K54:K65)</f>
        <v>10</v>
      </c>
      <c r="Q25">
        <f>_xlfn.STDEV.S(K54:K65)</f>
        <v>2.2343733444579588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0.16666666666666666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>
        <f>AVERAGE(Y4:Y15)</f>
        <v>1</v>
      </c>
      <c r="T27">
        <f>MAX(Y4:Y15)</f>
        <v>1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</v>
      </c>
    </row>
    <row r="29" spans="1:66" x14ac:dyDescent="0.2">
      <c r="D29">
        <f>_xlfn.STDEV.S(A68:A79)</f>
        <v>0</v>
      </c>
      <c r="I29">
        <f>AVERAGE(C54:C65)</f>
        <v>1.5</v>
      </c>
      <c r="J29">
        <f>MAX(C54:C65)</f>
        <v>6</v>
      </c>
      <c r="K29">
        <f>_xlfn.STDEV.S(C54:C65)</f>
        <v>1.9306145983268455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1</v>
      </c>
      <c r="S30">
        <f>_xlfn.STDEV.S(C68:C79)</f>
        <v>0.51492865054443726</v>
      </c>
    </row>
    <row r="31" spans="1:66" x14ac:dyDescent="0.2">
      <c r="D31" t="s">
        <v>179</v>
      </c>
      <c r="F31" t="s">
        <v>180</v>
      </c>
      <c r="I31">
        <f>M16/L16</f>
        <v>0.88888888888888884</v>
      </c>
      <c r="L31">
        <f>K80/I80</f>
        <v>0.75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2.6666666666666665</v>
      </c>
      <c r="J34">
        <f>MAX(E54:E65)</f>
        <v>8</v>
      </c>
      <c r="K34">
        <f>_xlfn.STDEV.S(E54:E65)</f>
        <v>2.6742316936860862</v>
      </c>
      <c r="L34">
        <f>AVERAGE(K68:K79)</f>
        <v>2.25</v>
      </c>
      <c r="M34">
        <f>MAX(K68:K79)</f>
        <v>5</v>
      </c>
      <c r="N34">
        <f>_xlfn.STDEV.S(K68:K79)</f>
        <v>2.6299556396765835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8.3333333333333329E-2</v>
      </c>
      <c r="J37">
        <f>MAX(G54:G65)</f>
        <v>1</v>
      </c>
      <c r="K37">
        <f>_xlfn.STDEV.S(G54:G65)</f>
        <v>0.28867513459481287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4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4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0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6</v>
      </c>
      <c r="E56">
        <f t="shared" si="3"/>
        <v>3</v>
      </c>
      <c r="G56">
        <f t="shared" si="4"/>
        <v>0</v>
      </c>
      <c r="I56">
        <f t="shared" si="5"/>
        <v>0</v>
      </c>
      <c r="K56">
        <f t="shared" si="6"/>
        <v>8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5</v>
      </c>
      <c r="G58">
        <f t="shared" si="4"/>
        <v>0</v>
      </c>
      <c r="I58">
        <f t="shared" si="5"/>
        <v>0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3</v>
      </c>
      <c r="E59">
        <f t="shared" si="3"/>
        <v>3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0</v>
      </c>
    </row>
    <row r="60" spans="1:44" x14ac:dyDescent="0.2">
      <c r="A60">
        <f t="shared" si="1"/>
        <v>0</v>
      </c>
      <c r="C60">
        <f t="shared" si="2"/>
        <v>3</v>
      </c>
      <c r="E60">
        <f t="shared" si="3"/>
        <v>4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5</v>
      </c>
      <c r="G61">
        <f t="shared" si="4"/>
        <v>0</v>
      </c>
      <c r="I61">
        <f t="shared" si="5"/>
        <v>0</v>
      </c>
      <c r="K61">
        <f t="shared" si="6"/>
        <v>5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1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2</v>
      </c>
      <c r="E63">
        <f t="shared" si="3"/>
        <v>8</v>
      </c>
      <c r="G63">
        <f t="shared" si="4"/>
        <v>0</v>
      </c>
      <c r="I63">
        <f t="shared" si="5"/>
        <v>0</v>
      </c>
      <c r="K63">
        <f t="shared" si="6"/>
        <v>10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4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3</v>
      </c>
      <c r="E65">
        <f t="shared" si="3"/>
        <v>0</v>
      </c>
      <c r="G65">
        <f t="shared" si="4"/>
        <v>1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2</v>
      </c>
      <c r="U66">
        <f>SUM(U54:U65)</f>
        <v>0</v>
      </c>
      <c r="V66">
        <f>SUM(V54:V65)</f>
        <v>0</v>
      </c>
      <c r="Y66">
        <f>SUM(Y54:Y65)</f>
        <v>6</v>
      </c>
      <c r="AA66">
        <f>SUM(AA54:AA65)</f>
        <v>5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4</v>
      </c>
      <c r="G68">
        <f>AVERAGE(E68:E79)</f>
        <v>5.5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5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9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6</v>
      </c>
      <c r="I72">
        <f t="shared" si="22"/>
        <v>5</v>
      </c>
      <c r="K72">
        <f t="shared" si="23"/>
        <v>5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6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2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10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4</v>
      </c>
      <c r="I78">
        <f t="shared" si="22"/>
        <v>7</v>
      </c>
      <c r="K78">
        <f t="shared" si="23"/>
        <v>4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3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12</v>
      </c>
      <c r="K80">
        <f>SUM(K68:K79)</f>
        <v>9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6</v>
      </c>
      <c r="G4" t="s">
        <v>188</v>
      </c>
      <c r="H4">
        <v>1</v>
      </c>
      <c r="I4">
        <v>1</v>
      </c>
      <c r="J4">
        <v>2</v>
      </c>
      <c r="K4">
        <v>3</v>
      </c>
      <c r="N4">
        <v>2</v>
      </c>
      <c r="O4">
        <v>3</v>
      </c>
      <c r="P4">
        <v>3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19</v>
      </c>
      <c r="C5">
        <v>1</v>
      </c>
      <c r="D5" t="s">
        <v>185</v>
      </c>
      <c r="E5">
        <v>1</v>
      </c>
      <c r="K5">
        <v>3</v>
      </c>
      <c r="O5">
        <v>3</v>
      </c>
      <c r="P5">
        <v>3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27</v>
      </c>
      <c r="D6" t="s">
        <v>185</v>
      </c>
      <c r="E6">
        <v>1</v>
      </c>
      <c r="F6">
        <v>1</v>
      </c>
      <c r="K6">
        <v>6</v>
      </c>
      <c r="N6">
        <v>5</v>
      </c>
      <c r="O6">
        <v>1</v>
      </c>
      <c r="P6">
        <v>1</v>
      </c>
      <c r="U6">
        <v>1</v>
      </c>
      <c r="V6">
        <v>1</v>
      </c>
      <c r="W6" t="s">
        <v>189</v>
      </c>
    </row>
    <row r="7" spans="1:66" x14ac:dyDescent="0.2">
      <c r="A7">
        <v>4</v>
      </c>
      <c r="B7">
        <v>34</v>
      </c>
      <c r="K7">
        <v>7</v>
      </c>
      <c r="N7">
        <v>1</v>
      </c>
      <c r="O7">
        <v>4</v>
      </c>
      <c r="P7">
        <v>3</v>
      </c>
      <c r="Q7">
        <v>3</v>
      </c>
      <c r="R7">
        <v>1</v>
      </c>
      <c r="S7">
        <v>1</v>
      </c>
      <c r="T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47</v>
      </c>
      <c r="K8">
        <v>8</v>
      </c>
      <c r="O8">
        <v>7</v>
      </c>
      <c r="P8">
        <v>4</v>
      </c>
      <c r="U8">
        <v>1</v>
      </c>
      <c r="W8" t="s">
        <v>186</v>
      </c>
      <c r="X8">
        <v>1</v>
      </c>
    </row>
    <row r="9" spans="1:66" x14ac:dyDescent="0.2">
      <c r="A9">
        <v>6</v>
      </c>
      <c r="B9">
        <v>53</v>
      </c>
      <c r="C9">
        <v>1</v>
      </c>
      <c r="D9" t="s">
        <v>185</v>
      </c>
      <c r="E9">
        <v>1</v>
      </c>
      <c r="K9">
        <v>4</v>
      </c>
      <c r="L9">
        <v>4</v>
      </c>
      <c r="M9">
        <v>3</v>
      </c>
      <c r="O9">
        <v>1</v>
      </c>
      <c r="P9">
        <v>1</v>
      </c>
    </row>
    <row r="10" spans="1:66" x14ac:dyDescent="0.2">
      <c r="A10">
        <v>7</v>
      </c>
      <c r="B10">
        <v>62</v>
      </c>
      <c r="D10" t="s">
        <v>185</v>
      </c>
      <c r="E10">
        <v>1</v>
      </c>
      <c r="J10">
        <v>1</v>
      </c>
      <c r="K10">
        <v>6</v>
      </c>
      <c r="O10">
        <v>7</v>
      </c>
      <c r="P10">
        <v>5</v>
      </c>
      <c r="U10">
        <v>1</v>
      </c>
      <c r="W10" t="s">
        <v>186</v>
      </c>
      <c r="X10">
        <v>1</v>
      </c>
    </row>
    <row r="11" spans="1:66" x14ac:dyDescent="0.2">
      <c r="A11">
        <v>8</v>
      </c>
      <c r="B11">
        <v>74</v>
      </c>
      <c r="G11" t="s">
        <v>188</v>
      </c>
      <c r="H11">
        <v>1</v>
      </c>
      <c r="K11">
        <v>7</v>
      </c>
      <c r="O11">
        <v>3</v>
      </c>
      <c r="P11">
        <v>3</v>
      </c>
      <c r="Q11">
        <v>1</v>
      </c>
      <c r="R11">
        <v>1</v>
      </c>
      <c r="X11">
        <v>1</v>
      </c>
    </row>
    <row r="12" spans="1:66" x14ac:dyDescent="0.2">
      <c r="A12">
        <v>9</v>
      </c>
      <c r="B12">
        <v>83</v>
      </c>
      <c r="C12">
        <v>1</v>
      </c>
      <c r="G12" t="s">
        <v>185</v>
      </c>
      <c r="H12">
        <v>1</v>
      </c>
      <c r="I12">
        <v>1</v>
      </c>
      <c r="K12">
        <v>2</v>
      </c>
      <c r="O12">
        <v>1</v>
      </c>
      <c r="P12">
        <v>1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92</v>
      </c>
      <c r="K13">
        <v>8</v>
      </c>
      <c r="L13">
        <v>8</v>
      </c>
      <c r="M13">
        <v>4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108</v>
      </c>
      <c r="C14">
        <v>1</v>
      </c>
      <c r="J14">
        <v>2</v>
      </c>
      <c r="K14">
        <v>4</v>
      </c>
      <c r="N14">
        <v>1</v>
      </c>
      <c r="O14">
        <v>6</v>
      </c>
      <c r="P14">
        <v>5</v>
      </c>
      <c r="U14">
        <v>1</v>
      </c>
      <c r="V14">
        <v>1</v>
      </c>
      <c r="W14" t="s">
        <v>189</v>
      </c>
    </row>
    <row r="15" spans="1:66" x14ac:dyDescent="0.2">
      <c r="A15">
        <v>12</v>
      </c>
      <c r="B15">
        <v>117</v>
      </c>
      <c r="D15" t="s">
        <v>185</v>
      </c>
      <c r="E15">
        <v>1</v>
      </c>
      <c r="F15">
        <v>1</v>
      </c>
      <c r="J15">
        <v>4</v>
      </c>
      <c r="K15">
        <v>1</v>
      </c>
      <c r="N15">
        <v>4</v>
      </c>
      <c r="O15">
        <v>1</v>
      </c>
      <c r="P15">
        <v>1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5</v>
      </c>
      <c r="F16">
        <f>SUM(F4:F15)</f>
        <v>2</v>
      </c>
      <c r="H16">
        <f t="shared" ref="H16:P16" si="0">SUM(H4:H15)</f>
        <v>3</v>
      </c>
      <c r="I16">
        <f t="shared" si="0"/>
        <v>2</v>
      </c>
      <c r="J16">
        <f t="shared" si="0"/>
        <v>9</v>
      </c>
      <c r="K16">
        <f t="shared" si="0"/>
        <v>59</v>
      </c>
      <c r="L16">
        <f t="shared" si="0"/>
        <v>12</v>
      </c>
      <c r="M16">
        <f t="shared" si="0"/>
        <v>7</v>
      </c>
      <c r="N16">
        <f t="shared" si="0"/>
        <v>13</v>
      </c>
      <c r="O16">
        <f t="shared" si="0"/>
        <v>37</v>
      </c>
      <c r="P16">
        <f t="shared" si="0"/>
        <v>30</v>
      </c>
      <c r="Q16">
        <f>SUM(Q4:Q15)</f>
        <v>4</v>
      </c>
      <c r="R16">
        <f>SUM(R4:R15)</f>
        <v>2</v>
      </c>
      <c r="S16">
        <f>SUM(S4:S15)</f>
        <v>4</v>
      </c>
      <c r="T16">
        <v>0</v>
      </c>
      <c r="U16">
        <f>SUM(U4:U15)</f>
        <v>7</v>
      </c>
      <c r="V16">
        <f>SUM(V4:V15)</f>
        <v>4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0.4</v>
      </c>
      <c r="F20">
        <f>COUNT(I4:I15)/COUNT(H4:H15)</f>
        <v>0.66666666666666663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0.81081081081081086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0.4</v>
      </c>
      <c r="F22">
        <f>T66/S66</f>
        <v>1</v>
      </c>
      <c r="I22" t="s">
        <v>23</v>
      </c>
      <c r="N22">
        <f>AVERAGE(I54:I65)</f>
        <v>0.75</v>
      </c>
      <c r="O22">
        <f>MEDIAN(I54:I65)</f>
        <v>0</v>
      </c>
      <c r="P22">
        <f>MAX(I54:I65)</f>
        <v>4</v>
      </c>
      <c r="Q22">
        <f>_xlfn.STDEV.S(I54:I65)</f>
        <v>1.2880570286640687</v>
      </c>
      <c r="S22">
        <f>V16/U16</f>
        <v>0.5714285714285714</v>
      </c>
      <c r="U22">
        <f>AA66/Y66</f>
        <v>0.4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0.5</v>
      </c>
      <c r="I24">
        <f>AVERAGE(A54:A65)</f>
        <v>2.5</v>
      </c>
      <c r="J24">
        <f>MAX(A54:A65)</f>
        <v>5</v>
      </c>
      <c r="K24">
        <f>_xlfn.STDEV.S(A54:A65)</f>
        <v>1.6787441193290353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0.33333333333333331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4.916666666666667</v>
      </c>
      <c r="O25">
        <f>MEDIAN(K54:K65)</f>
        <v>5</v>
      </c>
      <c r="P25">
        <f>MAX(K54:K65)</f>
        <v>8</v>
      </c>
      <c r="Q25">
        <f>_xlfn.STDEV.S(K54:K65)</f>
        <v>2.3915887961137825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0.16666666666666666</v>
      </c>
      <c r="I26">
        <f>R16/Q16</f>
        <v>0.5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0.13235294117647059</v>
      </c>
    </row>
    <row r="29" spans="1:66" x14ac:dyDescent="0.2">
      <c r="D29">
        <f>_xlfn.STDEV.S(A68:A79)</f>
        <v>0.57735026918962584</v>
      </c>
      <c r="I29">
        <f>AVERAGE(C54:C65)</f>
        <v>0.16666666666666666</v>
      </c>
      <c r="J29">
        <f>MAX(C54:C65)</f>
        <v>1</v>
      </c>
      <c r="K29">
        <f>_xlfn.STDEV.S(C54:C65)</f>
        <v>0.38924947208076149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0.86764705882352944</v>
      </c>
      <c r="S30">
        <f>_xlfn.STDEV.S(C68:C79)</f>
        <v>0.49236596391733095</v>
      </c>
    </row>
    <row r="31" spans="1:66" x14ac:dyDescent="0.2">
      <c r="D31" t="s">
        <v>179</v>
      </c>
      <c r="F31" t="s">
        <v>180</v>
      </c>
      <c r="I31">
        <f>M16/L16</f>
        <v>0.58333333333333337</v>
      </c>
      <c r="L31">
        <f>K80/I80</f>
        <v>0.75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0.58333333333333337</v>
      </c>
      <c r="J34">
        <f>MAX(E54:E65)</f>
        <v>4</v>
      </c>
      <c r="K34">
        <f>_xlfn.STDEV.S(E54:E65)</f>
        <v>1.378954368902449</v>
      </c>
      <c r="L34">
        <f>AVERAGE(K68:K79)</f>
        <v>0.75</v>
      </c>
      <c r="M34">
        <f>MAX(K68:K79)</f>
        <v>3</v>
      </c>
      <c r="N34">
        <f>_xlfn.STDEV.S(K68:K79)</f>
        <v>1.5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1.0833333333333333</v>
      </c>
      <c r="J37">
        <f>MAX(G54:G65)</f>
        <v>5</v>
      </c>
      <c r="K37">
        <f>_xlfn.STDEV.S(G54:G65)</f>
        <v>1.7298624923456321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2</v>
      </c>
      <c r="I54">
        <f t="shared" ref="I54:I65" si="5">IF(ISBLANK(B4),"",J4)</f>
        <v>2</v>
      </c>
      <c r="K54">
        <f t="shared" ref="K54:K65" si="6">IF(ISBLANK(B4),"",K4)</f>
        <v>3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3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3</v>
      </c>
      <c r="N55">
        <f t="shared" si="7"/>
        <v>1</v>
      </c>
      <c r="O55">
        <f t="shared" si="8"/>
        <v>0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1</v>
      </c>
      <c r="C56">
        <f t="shared" si="2"/>
        <v>0</v>
      </c>
      <c r="E56">
        <f t="shared" si="3"/>
        <v>0</v>
      </c>
      <c r="G56">
        <f t="shared" si="4"/>
        <v>5</v>
      </c>
      <c r="I56">
        <f t="shared" si="5"/>
        <v>0</v>
      </c>
      <c r="K56">
        <f t="shared" si="6"/>
        <v>6</v>
      </c>
      <c r="N56">
        <f t="shared" si="7"/>
        <v>1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>
        <f t="shared" si="17"/>
        <v>1</v>
      </c>
      <c r="AE56">
        <f t="shared" si="18"/>
        <v>1</v>
      </c>
    </row>
    <row r="57" spans="1:44" x14ac:dyDescent="0.2">
      <c r="A57">
        <f t="shared" si="1"/>
        <v>3</v>
      </c>
      <c r="C57">
        <f t="shared" si="2"/>
        <v>1</v>
      </c>
      <c r="E57">
        <f t="shared" si="3"/>
        <v>0</v>
      </c>
      <c r="G57">
        <f t="shared" si="4"/>
        <v>1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8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0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0</v>
      </c>
      <c r="E59">
        <f t="shared" si="3"/>
        <v>3</v>
      </c>
      <c r="G59">
        <f t="shared" si="4"/>
        <v>0</v>
      </c>
      <c r="I59">
        <f t="shared" si="5"/>
        <v>0</v>
      </c>
      <c r="K59">
        <f t="shared" si="6"/>
        <v>4</v>
      </c>
      <c r="N59">
        <f t="shared" si="7"/>
        <v>1</v>
      </c>
      <c r="O59">
        <f t="shared" si="8"/>
        <v>0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5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1</v>
      </c>
      <c r="K60">
        <f t="shared" si="6"/>
        <v>6</v>
      </c>
      <c r="N60">
        <f t="shared" si="7"/>
        <v>1</v>
      </c>
      <c r="O60">
        <f t="shared" si="8"/>
        <v>0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1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7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0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2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4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5</v>
      </c>
      <c r="C64">
        <f t="shared" si="2"/>
        <v>0</v>
      </c>
      <c r="E64">
        <f t="shared" si="3"/>
        <v>0</v>
      </c>
      <c r="G64">
        <f t="shared" si="4"/>
        <v>1</v>
      </c>
      <c r="I64">
        <f t="shared" si="5"/>
        <v>2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>
        <f t="shared" si="17"/>
        <v>1</v>
      </c>
      <c r="AE64">
        <f t="shared" si="18"/>
        <v>1</v>
      </c>
    </row>
    <row r="65" spans="1:31" x14ac:dyDescent="0.2">
      <c r="A65">
        <f t="shared" si="1"/>
        <v>1</v>
      </c>
      <c r="C65">
        <f t="shared" si="2"/>
        <v>0</v>
      </c>
      <c r="E65">
        <f t="shared" si="3"/>
        <v>0</v>
      </c>
      <c r="G65">
        <f t="shared" si="4"/>
        <v>4</v>
      </c>
      <c r="I65">
        <f t="shared" si="5"/>
        <v>4</v>
      </c>
      <c r="K65">
        <f t="shared" si="6"/>
        <v>1</v>
      </c>
      <c r="N65">
        <f t="shared" si="7"/>
        <v>1</v>
      </c>
      <c r="O65">
        <f t="shared" si="8"/>
        <v>1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5</v>
      </c>
      <c r="O66">
        <f>SUM(O54:O65)</f>
        <v>2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2</v>
      </c>
      <c r="V66">
        <f>SUM(V54:V65)</f>
        <v>1</v>
      </c>
      <c r="Y66">
        <f>SUM(Y54:Y65)</f>
        <v>5</v>
      </c>
      <c r="AA66">
        <f>SUM(AA54:AA65)</f>
        <v>2</v>
      </c>
      <c r="AC66">
        <f>SUM(AC54:AC65)</f>
        <v>2</v>
      </c>
      <c r="AE66">
        <f>SUM(AE54:AE65)</f>
        <v>2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4</v>
      </c>
      <c r="G68">
        <f>AVERAGE(E68:E79)</f>
        <v>3.5833333333333335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3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2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4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4</v>
      </c>
      <c r="I73">
        <f t="shared" si="22"/>
        <v>4</v>
      </c>
      <c r="K73">
        <f t="shared" si="23"/>
        <v>3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0</v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2</v>
      </c>
      <c r="I76">
        <f t="shared" si="22"/>
        <v>0</v>
      </c>
      <c r="K76">
        <f t="shared" si="23"/>
        <v>0</v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4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5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2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4</v>
      </c>
      <c r="K80">
        <f>SUM(K68:K79)</f>
        <v>3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E94"/>
  <sheetViews>
    <sheetView workbookViewId="0">
      <selection activeCell="A2" sqref="A2"/>
    </sheetView>
  </sheetViews>
  <sheetFormatPr baseColWidth="10" defaultRowHeight="15" x14ac:dyDescent="0.2"/>
  <sheetData>
    <row r="1" spans="1:25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25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25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25" x14ac:dyDescent="0.2">
      <c r="A4">
        <v>1</v>
      </c>
      <c r="B4">
        <v>6</v>
      </c>
      <c r="G4" t="s">
        <v>185</v>
      </c>
      <c r="H4">
        <v>1</v>
      </c>
      <c r="I4">
        <v>1</v>
      </c>
      <c r="K4">
        <v>7</v>
      </c>
      <c r="N4">
        <v>5</v>
      </c>
      <c r="Q4">
        <v>1</v>
      </c>
      <c r="R4">
        <v>1</v>
      </c>
      <c r="S4">
        <v>1</v>
      </c>
      <c r="T4">
        <v>1</v>
      </c>
    </row>
    <row r="5" spans="1:25" x14ac:dyDescent="0.2">
      <c r="A5">
        <v>2</v>
      </c>
      <c r="B5">
        <v>17</v>
      </c>
      <c r="G5" t="s">
        <v>185</v>
      </c>
      <c r="H5">
        <v>1</v>
      </c>
      <c r="J5">
        <v>4</v>
      </c>
      <c r="K5">
        <v>1</v>
      </c>
      <c r="N5">
        <v>5</v>
      </c>
      <c r="X5">
        <v>1</v>
      </c>
    </row>
    <row r="6" spans="1:25" x14ac:dyDescent="0.2">
      <c r="A6">
        <v>3</v>
      </c>
      <c r="B6">
        <v>30</v>
      </c>
      <c r="J6">
        <v>1</v>
      </c>
      <c r="K6">
        <v>3</v>
      </c>
      <c r="N6">
        <v>4</v>
      </c>
      <c r="X6">
        <v>1</v>
      </c>
    </row>
    <row r="7" spans="1:25" x14ac:dyDescent="0.2">
      <c r="A7">
        <v>4</v>
      </c>
      <c r="B7">
        <v>36</v>
      </c>
      <c r="K7">
        <v>5</v>
      </c>
      <c r="N7">
        <v>4</v>
      </c>
      <c r="O7">
        <v>1</v>
      </c>
      <c r="Q7">
        <v>1</v>
      </c>
      <c r="R7">
        <v>1</v>
      </c>
      <c r="X7">
        <v>1</v>
      </c>
    </row>
    <row r="8" spans="1:25" x14ac:dyDescent="0.2">
      <c r="A8">
        <v>5</v>
      </c>
      <c r="B8">
        <v>41</v>
      </c>
      <c r="C8">
        <v>1</v>
      </c>
      <c r="J8">
        <v>3</v>
      </c>
      <c r="K8">
        <v>2</v>
      </c>
      <c r="N8">
        <v>2</v>
      </c>
      <c r="Q8">
        <v>4</v>
      </c>
      <c r="R8">
        <v>1</v>
      </c>
      <c r="X8">
        <v>1</v>
      </c>
    </row>
    <row r="9" spans="1:25" x14ac:dyDescent="0.2">
      <c r="A9">
        <v>6</v>
      </c>
      <c r="B9">
        <v>56</v>
      </c>
      <c r="J9">
        <v>1</v>
      </c>
      <c r="K9">
        <v>3</v>
      </c>
      <c r="N9">
        <v>1</v>
      </c>
      <c r="O9">
        <v>3</v>
      </c>
      <c r="P9">
        <v>2</v>
      </c>
      <c r="S9">
        <v>1</v>
      </c>
      <c r="T9">
        <v>1</v>
      </c>
    </row>
    <row r="10" spans="1:25" x14ac:dyDescent="0.2">
      <c r="A10">
        <v>7</v>
      </c>
      <c r="B10">
        <v>61</v>
      </c>
      <c r="C10">
        <v>1</v>
      </c>
      <c r="J10">
        <v>3</v>
      </c>
      <c r="N10">
        <v>4</v>
      </c>
      <c r="S10">
        <v>1</v>
      </c>
      <c r="X10">
        <v>1</v>
      </c>
    </row>
    <row r="11" spans="1:25" x14ac:dyDescent="0.2">
      <c r="A11">
        <v>8</v>
      </c>
      <c r="B11">
        <v>75</v>
      </c>
      <c r="J11">
        <v>6</v>
      </c>
      <c r="K11">
        <v>1</v>
      </c>
      <c r="L11">
        <v>1</v>
      </c>
      <c r="M11">
        <v>1</v>
      </c>
      <c r="N11">
        <v>6</v>
      </c>
      <c r="Q11">
        <v>1</v>
      </c>
      <c r="R11">
        <v>1</v>
      </c>
      <c r="X11">
        <v>1</v>
      </c>
    </row>
    <row r="12" spans="1:25" x14ac:dyDescent="0.2">
      <c r="A12">
        <v>9</v>
      </c>
      <c r="B12">
        <v>86</v>
      </c>
      <c r="J12">
        <v>4</v>
      </c>
      <c r="K12">
        <v>1</v>
      </c>
      <c r="N12">
        <v>4</v>
      </c>
      <c r="Q12">
        <v>1</v>
      </c>
      <c r="R12">
        <v>1</v>
      </c>
      <c r="X12">
        <v>1</v>
      </c>
    </row>
    <row r="13" spans="1:25" x14ac:dyDescent="0.2">
      <c r="A13">
        <v>10</v>
      </c>
      <c r="B13">
        <v>91</v>
      </c>
      <c r="J13">
        <v>1</v>
      </c>
      <c r="K13">
        <v>4</v>
      </c>
      <c r="L13">
        <v>3</v>
      </c>
      <c r="M13">
        <v>3</v>
      </c>
      <c r="O13">
        <v>1</v>
      </c>
      <c r="P13">
        <v>1</v>
      </c>
      <c r="Q13">
        <v>1</v>
      </c>
      <c r="R13">
        <v>1</v>
      </c>
      <c r="X13">
        <v>1</v>
      </c>
    </row>
    <row r="14" spans="1:25" x14ac:dyDescent="0.2">
      <c r="A14">
        <v>11</v>
      </c>
      <c r="B14">
        <v>101</v>
      </c>
      <c r="C14">
        <v>1</v>
      </c>
      <c r="G14" t="s">
        <v>185</v>
      </c>
      <c r="H14">
        <v>1</v>
      </c>
      <c r="I14">
        <v>1</v>
      </c>
      <c r="J14">
        <v>4</v>
      </c>
      <c r="K14">
        <v>3</v>
      </c>
      <c r="N14">
        <v>1</v>
      </c>
      <c r="O14">
        <v>6</v>
      </c>
      <c r="P14">
        <v>3</v>
      </c>
      <c r="X14">
        <v>1</v>
      </c>
    </row>
    <row r="15" spans="1:25" x14ac:dyDescent="0.2">
      <c r="A15">
        <v>12</v>
      </c>
      <c r="B15">
        <v>113</v>
      </c>
      <c r="C15">
        <v>1</v>
      </c>
      <c r="K15">
        <v>7</v>
      </c>
      <c r="L15">
        <v>7</v>
      </c>
      <c r="M15">
        <v>7</v>
      </c>
      <c r="Q15">
        <v>1</v>
      </c>
      <c r="R15">
        <v>1</v>
      </c>
      <c r="X15">
        <v>1</v>
      </c>
    </row>
    <row r="16" spans="1:25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3</v>
      </c>
      <c r="I16">
        <f t="shared" si="0"/>
        <v>2</v>
      </c>
      <c r="J16">
        <f t="shared" si="0"/>
        <v>27</v>
      </c>
      <c r="K16">
        <f t="shared" si="0"/>
        <v>37</v>
      </c>
      <c r="L16">
        <f t="shared" si="0"/>
        <v>11</v>
      </c>
      <c r="M16">
        <f t="shared" si="0"/>
        <v>11</v>
      </c>
      <c r="N16">
        <f t="shared" si="0"/>
        <v>36</v>
      </c>
      <c r="O16">
        <f t="shared" si="0"/>
        <v>11</v>
      </c>
      <c r="P16">
        <f t="shared" si="0"/>
        <v>6</v>
      </c>
      <c r="Q16">
        <f>SUM(Q4:Q15)</f>
        <v>10</v>
      </c>
      <c r="R16">
        <f>SUM(R4:R15)</f>
        <v>7</v>
      </c>
      <c r="S16">
        <f>SUM(S4:S15)</f>
        <v>3</v>
      </c>
      <c r="T16">
        <v>0</v>
      </c>
      <c r="U16">
        <f>SUM(U4:U15)</f>
        <v>0</v>
      </c>
      <c r="V16">
        <f>SUM(V4:V15)</f>
        <v>0</v>
      </c>
      <c r="W16">
        <f>SUM(W4:W15)</f>
        <v>0</v>
      </c>
      <c r="X16">
        <f>SUM(X4:X15)</f>
        <v>10</v>
      </c>
      <c r="Y16">
        <f>SUM(Y4:Y15)</f>
        <v>0</v>
      </c>
    </row>
    <row r="18" spans="1:21" x14ac:dyDescent="0.2">
      <c r="A18" t="s">
        <v>9</v>
      </c>
      <c r="D18" s="1" t="s">
        <v>10</v>
      </c>
      <c r="I18" s="1" t="s">
        <v>11</v>
      </c>
      <c r="S18" s="1" t="s">
        <v>13</v>
      </c>
    </row>
    <row r="19" spans="1:21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</row>
    <row r="20" spans="1:21" x14ac:dyDescent="0.2">
      <c r="D20" t="e">
        <f>COUNT(F4:F15)/COUNT(E4:E15)</f>
        <v>#DIV/0!</v>
      </c>
      <c r="F20">
        <f>COUNT(I4:I15)/COUNT(H4:H15)</f>
        <v>0.66666666666666663</v>
      </c>
      <c r="I20" t="s">
        <v>41</v>
      </c>
      <c r="N20" t="s">
        <v>29</v>
      </c>
      <c r="S20">
        <f>T16/S16</f>
        <v>0</v>
      </c>
      <c r="T20">
        <f>T16/A19</f>
        <v>0</v>
      </c>
    </row>
    <row r="21" spans="1:21" x14ac:dyDescent="0.2">
      <c r="D21" t="s">
        <v>48</v>
      </c>
      <c r="F21" t="s">
        <v>49</v>
      </c>
      <c r="I21">
        <f>P16/O16</f>
        <v>0.54545454545454541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</row>
    <row r="22" spans="1:21" x14ac:dyDescent="0.2">
      <c r="D22" t="e">
        <f>O66/N66</f>
        <v>#DIV/0!</v>
      </c>
      <c r="F22">
        <f>T66/S66</f>
        <v>0.66666666666666663</v>
      </c>
      <c r="I22" t="s">
        <v>23</v>
      </c>
      <c r="N22">
        <f>AVERAGE(I54:I65)</f>
        <v>2.25</v>
      </c>
      <c r="O22">
        <f>MEDIAN(I54:I65)</f>
        <v>2</v>
      </c>
      <c r="P22">
        <f>MAX(I54:I65)</f>
        <v>6</v>
      </c>
      <c r="Q22">
        <f>_xlfn.STDEV.S(I54:I65)</f>
        <v>2.0056737702645644</v>
      </c>
      <c r="S22" t="e">
        <f>V16/U16</f>
        <v>#DIV/0!</v>
      </c>
      <c r="U22" t="e">
        <f>AA66/Y66</f>
        <v>#DIV/0!</v>
      </c>
    </row>
    <row r="23" spans="1:21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</row>
    <row r="24" spans="1:21" x14ac:dyDescent="0.2">
      <c r="D24" t="e">
        <f>Q66/P66</f>
        <v>#DIV/0!</v>
      </c>
      <c r="F24" t="e">
        <f>V66/U66</f>
        <v>#DIV/0!</v>
      </c>
      <c r="I24">
        <f>AVERAGE(A54:A65)</f>
        <v>0.5</v>
      </c>
      <c r="J24">
        <f>MAX(A54:A65)</f>
        <v>3</v>
      </c>
      <c r="K24">
        <f>_xlfn.STDEV.S(A54:A65)</f>
        <v>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 t="e">
        <f>AE66/AC66</f>
        <v>#DIV/0!</v>
      </c>
    </row>
    <row r="25" spans="1:21" x14ac:dyDescent="0.2">
      <c r="D25" t="s">
        <v>54</v>
      </c>
      <c r="F25" t="s">
        <v>55</v>
      </c>
      <c r="I25" t="s">
        <v>58</v>
      </c>
      <c r="N25">
        <f>AVERAGE(K54:K65)</f>
        <v>3.0833333333333335</v>
      </c>
      <c r="O25">
        <f>MEDIAN(K54:K65)</f>
        <v>3</v>
      </c>
      <c r="P25">
        <f>MAX(K54:K65)</f>
        <v>7</v>
      </c>
      <c r="Q25">
        <f>_xlfn.STDEV.S(K54:K65)</f>
        <v>2.3143164446679729</v>
      </c>
      <c r="S25" t="s">
        <v>50</v>
      </c>
    </row>
    <row r="26" spans="1:21" x14ac:dyDescent="0.2">
      <c r="D26">
        <f>F16/A19</f>
        <v>0</v>
      </c>
      <c r="F26">
        <f>I16/A19</f>
        <v>0.16666666666666666</v>
      </c>
      <c r="I26">
        <f>R16/Q16</f>
        <v>0.7</v>
      </c>
      <c r="S26" t="s">
        <v>14</v>
      </c>
      <c r="T26" t="s">
        <v>16</v>
      </c>
    </row>
    <row r="27" spans="1:21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</row>
    <row r="28" spans="1:21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0.421875</v>
      </c>
    </row>
    <row r="29" spans="1:21" x14ac:dyDescent="0.2">
      <c r="D29">
        <f>_xlfn.STDEV.S(A68:A79)</f>
        <v>0.57735026918962584</v>
      </c>
      <c r="I29">
        <f>AVERAGE(C54:C65)</f>
        <v>0.58333333333333337</v>
      </c>
      <c r="J29">
        <f>MAX(C54:C65)</f>
        <v>1</v>
      </c>
      <c r="K29">
        <f>_xlfn.STDEV.S(C54:C65)</f>
        <v>0.51492865054443726</v>
      </c>
      <c r="N29" t="s">
        <v>56</v>
      </c>
      <c r="S29" t="s">
        <v>159</v>
      </c>
    </row>
    <row r="30" spans="1:21" x14ac:dyDescent="0.2">
      <c r="I30" t="s">
        <v>57</v>
      </c>
      <c r="L30" t="s">
        <v>167</v>
      </c>
      <c r="N30">
        <f>K16/(J16+K16)</f>
        <v>0.578125</v>
      </c>
      <c r="S30">
        <f>_xlfn.STDEV.S(C68:C79)</f>
        <v>0</v>
      </c>
    </row>
    <row r="31" spans="1:21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21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0.91666666666666663</v>
      </c>
      <c r="J34">
        <f>MAX(E54:E65)</f>
        <v>7</v>
      </c>
      <c r="K34">
        <f>_xlfn.STDEV.S(E54:E65)</f>
        <v>2.1087839379532691</v>
      </c>
      <c r="L34">
        <f>AVERAGE(K68:K79)</f>
        <v>1.75</v>
      </c>
      <c r="M34">
        <f>MAX(K68:K79)</f>
        <v>7</v>
      </c>
      <c r="N34">
        <f>_xlfn.STDEV.S(K68:K79)</f>
        <v>3.5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3</v>
      </c>
      <c r="J37">
        <f>MAX(G54:G65)</f>
        <v>6</v>
      </c>
      <c r="K37">
        <f>_xlfn.STDEV.S(G54:G65)</f>
        <v>2.088931871468374</v>
      </c>
    </row>
    <row r="53" spans="1:31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</row>
    <row r="54" spans="1:31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5</v>
      </c>
      <c r="I54">
        <f t="shared" ref="I54:I65" si="5">IF(ISBLANK(B4),"",J4)</f>
        <v>0</v>
      </c>
      <c r="K54">
        <f t="shared" ref="K54:K65" si="6">IF(ISBLANK(B4),"",K4)</f>
        <v>7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31" x14ac:dyDescent="0.2">
      <c r="A55">
        <f t="shared" si="1"/>
        <v>0</v>
      </c>
      <c r="C55">
        <f t="shared" si="2"/>
        <v>0</v>
      </c>
      <c r="E55">
        <f t="shared" si="3"/>
        <v>0</v>
      </c>
      <c r="G55">
        <f t="shared" si="4"/>
        <v>5</v>
      </c>
      <c r="I55">
        <f t="shared" si="5"/>
        <v>4</v>
      </c>
      <c r="K55">
        <f t="shared" si="6"/>
        <v>1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>
        <f t="shared" si="11"/>
        <v>1</v>
      </c>
      <c r="T55">
        <f t="shared" si="12"/>
        <v>0</v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31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4</v>
      </c>
      <c r="I56">
        <f t="shared" si="5"/>
        <v>1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31" x14ac:dyDescent="0.2">
      <c r="A57">
        <f t="shared" si="1"/>
        <v>0</v>
      </c>
      <c r="C57">
        <f t="shared" si="2"/>
        <v>1</v>
      </c>
      <c r="E57">
        <f t="shared" si="3"/>
        <v>0</v>
      </c>
      <c r="G57">
        <f t="shared" si="4"/>
        <v>4</v>
      </c>
      <c r="I57">
        <f t="shared" si="5"/>
        <v>0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31" x14ac:dyDescent="0.2">
      <c r="A58">
        <f t="shared" si="1"/>
        <v>0</v>
      </c>
      <c r="C58">
        <f t="shared" si="2"/>
        <v>1</v>
      </c>
      <c r="E58">
        <f t="shared" si="3"/>
        <v>0</v>
      </c>
      <c r="G58">
        <f t="shared" si="4"/>
        <v>2</v>
      </c>
      <c r="I58">
        <f t="shared" si="5"/>
        <v>3</v>
      </c>
      <c r="K58">
        <f t="shared" si="6"/>
        <v>2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31" x14ac:dyDescent="0.2">
      <c r="A59">
        <f t="shared" si="1"/>
        <v>2</v>
      </c>
      <c r="C59">
        <f t="shared" si="2"/>
        <v>0</v>
      </c>
      <c r="E59">
        <f t="shared" si="3"/>
        <v>0</v>
      </c>
      <c r="G59">
        <f t="shared" si="4"/>
        <v>1</v>
      </c>
      <c r="I59">
        <f t="shared" si="5"/>
        <v>1</v>
      </c>
      <c r="K59">
        <f t="shared" si="6"/>
        <v>3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31" x14ac:dyDescent="0.2">
      <c r="A60">
        <f t="shared" si="1"/>
        <v>0</v>
      </c>
      <c r="C60">
        <f t="shared" si="2"/>
        <v>0</v>
      </c>
      <c r="E60">
        <f t="shared" si="3"/>
        <v>0</v>
      </c>
      <c r="G60">
        <f t="shared" si="4"/>
        <v>4</v>
      </c>
      <c r="I60">
        <f t="shared" si="5"/>
        <v>3</v>
      </c>
      <c r="K60">
        <f t="shared" si="6"/>
        <v>0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31" x14ac:dyDescent="0.2">
      <c r="A61">
        <f t="shared" si="1"/>
        <v>0</v>
      </c>
      <c r="C61">
        <f t="shared" si="2"/>
        <v>1</v>
      </c>
      <c r="E61">
        <f t="shared" si="3"/>
        <v>1</v>
      </c>
      <c r="G61">
        <f t="shared" si="4"/>
        <v>6</v>
      </c>
      <c r="I61">
        <f t="shared" si="5"/>
        <v>6</v>
      </c>
      <c r="K61">
        <f t="shared" si="6"/>
        <v>1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31" x14ac:dyDescent="0.2">
      <c r="A62">
        <f t="shared" si="1"/>
        <v>0</v>
      </c>
      <c r="C62">
        <f t="shared" si="2"/>
        <v>1</v>
      </c>
      <c r="E62">
        <f t="shared" si="3"/>
        <v>0</v>
      </c>
      <c r="G62">
        <f t="shared" si="4"/>
        <v>4</v>
      </c>
      <c r="I62">
        <f t="shared" si="5"/>
        <v>4</v>
      </c>
      <c r="K62">
        <f t="shared" si="6"/>
        <v>1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31" x14ac:dyDescent="0.2">
      <c r="A63">
        <f t="shared" si="1"/>
        <v>1</v>
      </c>
      <c r="C63">
        <f t="shared" si="2"/>
        <v>1</v>
      </c>
      <c r="E63">
        <f t="shared" si="3"/>
        <v>3</v>
      </c>
      <c r="G63">
        <f t="shared" si="4"/>
        <v>0</v>
      </c>
      <c r="I63">
        <f t="shared" si="5"/>
        <v>1</v>
      </c>
      <c r="K63">
        <f t="shared" si="6"/>
        <v>4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31" x14ac:dyDescent="0.2">
      <c r="A64">
        <f t="shared" si="1"/>
        <v>3</v>
      </c>
      <c r="C64">
        <f t="shared" si="2"/>
        <v>0</v>
      </c>
      <c r="E64">
        <f t="shared" si="3"/>
        <v>0</v>
      </c>
      <c r="G64">
        <f t="shared" si="4"/>
        <v>1</v>
      </c>
      <c r="I64">
        <f t="shared" si="5"/>
        <v>4</v>
      </c>
      <c r="K64">
        <f t="shared" si="6"/>
        <v>3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7</v>
      </c>
      <c r="G65">
        <f t="shared" si="4"/>
        <v>0</v>
      </c>
      <c r="I65">
        <f t="shared" si="5"/>
        <v>0</v>
      </c>
      <c r="K65">
        <f t="shared" si="6"/>
        <v>7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2</v>
      </c>
      <c r="U66">
        <f>SUM(U54:U65)</f>
        <v>0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2</v>
      </c>
      <c r="G68">
        <f>AVERAGE(E68:E79)</f>
        <v>2.1666666666666665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0</v>
      </c>
      <c r="C69">
        <f t="shared" si="20"/>
        <v>0</v>
      </c>
      <c r="E69">
        <f t="shared" si="21"/>
        <v>0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0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1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1</v>
      </c>
      <c r="I72">
        <f t="shared" si="22"/>
        <v>0</v>
      </c>
      <c r="K72">
        <f t="shared" si="23"/>
        <v>0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2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0</v>
      </c>
      <c r="I74">
        <f t="shared" si="22"/>
        <v>0</v>
      </c>
      <c r="K74">
        <f t="shared" si="23"/>
        <v>0</v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2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1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4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8</v>
      </c>
      <c r="I79">
        <f t="shared" si="22"/>
        <v>7</v>
      </c>
      <c r="K79">
        <f t="shared" si="23"/>
        <v>7</v>
      </c>
    </row>
    <row r="80" spans="1:31" x14ac:dyDescent="0.2">
      <c r="H80" t="s">
        <v>168</v>
      </c>
      <c r="I80">
        <f>SUM(I68:I79)</f>
        <v>7</v>
      </c>
      <c r="K80">
        <f>SUM(K68:K79)</f>
        <v>7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N94"/>
  <sheetViews>
    <sheetView workbookViewId="0">
      <selection activeCell="C8" sqref="C8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G4" t="s">
        <v>188</v>
      </c>
      <c r="H4">
        <v>2</v>
      </c>
      <c r="I4">
        <v>1</v>
      </c>
      <c r="K4">
        <v>5</v>
      </c>
      <c r="N4">
        <v>4</v>
      </c>
      <c r="O4">
        <v>1</v>
      </c>
      <c r="P4">
        <v>1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11</v>
      </c>
      <c r="G5" t="s">
        <v>188</v>
      </c>
      <c r="H5">
        <v>1</v>
      </c>
      <c r="I5">
        <v>1</v>
      </c>
      <c r="J5">
        <v>1</v>
      </c>
      <c r="K5">
        <v>4</v>
      </c>
      <c r="O5">
        <v>2</v>
      </c>
      <c r="P5">
        <v>1</v>
      </c>
      <c r="Q5">
        <v>3</v>
      </c>
      <c r="R5">
        <v>2</v>
      </c>
      <c r="U5">
        <v>1</v>
      </c>
      <c r="V5">
        <v>1</v>
      </c>
      <c r="W5" t="s">
        <v>186</v>
      </c>
      <c r="X5">
        <v>1</v>
      </c>
    </row>
    <row r="6" spans="1:66" x14ac:dyDescent="0.2">
      <c r="A6">
        <v>3</v>
      </c>
      <c r="B6">
        <v>28</v>
      </c>
      <c r="K6">
        <v>3</v>
      </c>
      <c r="O6">
        <v>2</v>
      </c>
      <c r="P6">
        <v>2</v>
      </c>
      <c r="Q6">
        <v>1</v>
      </c>
      <c r="R6">
        <v>1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36</v>
      </c>
      <c r="G7" t="s">
        <v>185</v>
      </c>
      <c r="H7">
        <v>1</v>
      </c>
      <c r="I7">
        <v>1</v>
      </c>
      <c r="K7">
        <v>10</v>
      </c>
      <c r="L7">
        <v>7</v>
      </c>
      <c r="M7">
        <v>7</v>
      </c>
      <c r="O7">
        <v>1</v>
      </c>
      <c r="P7">
        <v>1</v>
      </c>
      <c r="Q7">
        <v>2</v>
      </c>
      <c r="R7">
        <v>2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50</v>
      </c>
      <c r="G8" t="s">
        <v>188</v>
      </c>
      <c r="H8">
        <v>1</v>
      </c>
      <c r="I8">
        <v>1</v>
      </c>
      <c r="J8">
        <v>1</v>
      </c>
      <c r="K8">
        <v>5</v>
      </c>
      <c r="N8">
        <v>3</v>
      </c>
      <c r="O8">
        <v>3</v>
      </c>
      <c r="P8">
        <v>3</v>
      </c>
      <c r="U8">
        <v>1</v>
      </c>
      <c r="V8">
        <v>1</v>
      </c>
      <c r="W8" t="s">
        <v>189</v>
      </c>
    </row>
    <row r="9" spans="1:66" x14ac:dyDescent="0.2">
      <c r="A9">
        <v>6</v>
      </c>
      <c r="B9">
        <v>57</v>
      </c>
      <c r="G9" t="s">
        <v>188</v>
      </c>
      <c r="H9">
        <v>1</v>
      </c>
      <c r="I9">
        <v>1</v>
      </c>
      <c r="K9">
        <v>8</v>
      </c>
      <c r="L9">
        <v>8</v>
      </c>
      <c r="M9">
        <v>8</v>
      </c>
      <c r="Q9">
        <v>1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64</v>
      </c>
      <c r="G10" t="s">
        <v>185</v>
      </c>
      <c r="H10">
        <v>1</v>
      </c>
      <c r="I10">
        <v>1</v>
      </c>
      <c r="K10">
        <v>6</v>
      </c>
      <c r="O10">
        <v>4</v>
      </c>
      <c r="P10">
        <v>3</v>
      </c>
      <c r="X10">
        <v>1</v>
      </c>
    </row>
    <row r="11" spans="1:66" x14ac:dyDescent="0.2">
      <c r="A11">
        <v>8</v>
      </c>
      <c r="B11">
        <v>75</v>
      </c>
      <c r="C11">
        <v>1</v>
      </c>
      <c r="G11" t="s">
        <v>185</v>
      </c>
      <c r="H11">
        <v>1</v>
      </c>
      <c r="I11">
        <v>1</v>
      </c>
      <c r="K11">
        <v>9</v>
      </c>
      <c r="L11">
        <v>5</v>
      </c>
      <c r="M11">
        <v>5</v>
      </c>
      <c r="Q11">
        <v>4</v>
      </c>
      <c r="R11">
        <v>4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81</v>
      </c>
      <c r="C12">
        <v>1</v>
      </c>
      <c r="G12" t="s">
        <v>188</v>
      </c>
      <c r="H12">
        <v>2</v>
      </c>
      <c r="I12">
        <v>2</v>
      </c>
      <c r="J12">
        <v>4</v>
      </c>
      <c r="K12">
        <v>5</v>
      </c>
      <c r="N12">
        <v>7</v>
      </c>
      <c r="O12">
        <v>1</v>
      </c>
      <c r="P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96</v>
      </c>
      <c r="C13">
        <v>1</v>
      </c>
      <c r="G13" t="s">
        <v>188</v>
      </c>
      <c r="H13">
        <v>1</v>
      </c>
      <c r="I13">
        <v>1</v>
      </c>
      <c r="J13">
        <v>1</v>
      </c>
      <c r="K13">
        <v>3</v>
      </c>
      <c r="O13">
        <v>4</v>
      </c>
      <c r="P13">
        <v>3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107</v>
      </c>
      <c r="C14">
        <v>1</v>
      </c>
      <c r="G14" t="s">
        <v>188</v>
      </c>
      <c r="H14">
        <v>1</v>
      </c>
      <c r="K14">
        <v>7</v>
      </c>
      <c r="L14">
        <v>3</v>
      </c>
      <c r="M14">
        <v>3</v>
      </c>
      <c r="Q14">
        <v>4</v>
      </c>
      <c r="R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117</v>
      </c>
      <c r="G15" t="s">
        <v>188</v>
      </c>
      <c r="H15">
        <v>2</v>
      </c>
      <c r="I15">
        <v>1</v>
      </c>
      <c r="K15">
        <v>6</v>
      </c>
      <c r="O15">
        <v>6</v>
      </c>
      <c r="P15">
        <v>5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14</v>
      </c>
      <c r="I16">
        <f t="shared" si="0"/>
        <v>11</v>
      </c>
      <c r="J16">
        <f t="shared" si="0"/>
        <v>7</v>
      </c>
      <c r="K16">
        <f t="shared" si="0"/>
        <v>71</v>
      </c>
      <c r="L16">
        <f t="shared" si="0"/>
        <v>23</v>
      </c>
      <c r="M16">
        <f t="shared" si="0"/>
        <v>23</v>
      </c>
      <c r="N16">
        <f t="shared" si="0"/>
        <v>14</v>
      </c>
      <c r="O16">
        <f t="shared" si="0"/>
        <v>24</v>
      </c>
      <c r="P16">
        <f t="shared" si="0"/>
        <v>20</v>
      </c>
      <c r="Q16">
        <f>SUM(Q4:Q15)</f>
        <v>15</v>
      </c>
      <c r="R16">
        <f>SUM(R4:R15)</f>
        <v>13</v>
      </c>
      <c r="S16">
        <f>SUM(S4:S15)</f>
        <v>0</v>
      </c>
      <c r="T16">
        <v>0</v>
      </c>
      <c r="U16">
        <f>SUM(U4:U15)</f>
        <v>11</v>
      </c>
      <c r="V16">
        <f>SUM(V4:V15)</f>
        <v>11</v>
      </c>
      <c r="W16">
        <f>SUM(W4:W15)</f>
        <v>0</v>
      </c>
      <c r="X16">
        <f>SUM(X4:X15)</f>
        <v>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0.90909090909090906</v>
      </c>
      <c r="I20" t="s">
        <v>41</v>
      </c>
      <c r="N20" t="s">
        <v>29</v>
      </c>
      <c r="S20" t="e">
        <f>T16/S16</f>
        <v>#DIV/0!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0.83333333333333337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0.58333333333333337</v>
      </c>
      <c r="O22">
        <f>MEDIAN(I54:I65)</f>
        <v>0</v>
      </c>
      <c r="P22">
        <f>MAX(I54:I65)</f>
        <v>4</v>
      </c>
      <c r="Q22">
        <f>_xlfn.STDEV.S(I54:I65)</f>
        <v>1.164500152881315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0.72727272727272729</v>
      </c>
      <c r="I24">
        <f>AVERAGE(A54:A65)</f>
        <v>1.6666666666666667</v>
      </c>
      <c r="J24">
        <f>MAX(A54:A65)</f>
        <v>5</v>
      </c>
      <c r="K24">
        <f>_xlfn.STDEV.S(A54:A65)</f>
        <v>1.5569978883230458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0.91666666666666663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5.916666666666667</v>
      </c>
      <c r="O25">
        <f>MEDIAN(K54:K65)</f>
        <v>5.5</v>
      </c>
      <c r="P25">
        <f>MAX(K54:K65)</f>
        <v>10</v>
      </c>
      <c r="Q25">
        <f>_xlfn.STDEV.S(K54:K65)</f>
        <v>2.2343733444579588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0.91666666666666663</v>
      </c>
      <c r="I26">
        <f>R16/Q16</f>
        <v>0.8666666666666667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8.9743589743589744E-2</v>
      </c>
    </row>
    <row r="29" spans="1:66" x14ac:dyDescent="0.2">
      <c r="D29">
        <f>_xlfn.STDEV.S(A68:A79)</f>
        <v>0.44721359549995793</v>
      </c>
      <c r="I29">
        <f>AVERAGE(C54:C65)</f>
        <v>1.0833333333333333</v>
      </c>
      <c r="J29">
        <f>MAX(C54:C65)</f>
        <v>4</v>
      </c>
      <c r="K29">
        <f>_xlfn.STDEV.S(C54:C65)</f>
        <v>1.5642792899510294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0.91025641025641024</v>
      </c>
      <c r="S30">
        <f>_xlfn.STDEV.S(C68:C79)</f>
        <v>0.28867513459481275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>
        <f>H94/F94</f>
        <v>0.66666666666666663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1.9166666666666667</v>
      </c>
      <c r="J34">
        <f>MAX(E54:E65)</f>
        <v>8</v>
      </c>
      <c r="K34">
        <f>_xlfn.STDEV.S(E54:E65)</f>
        <v>3.058767824804721</v>
      </c>
      <c r="L34">
        <f>AVERAGE(K68:K79)</f>
        <v>2</v>
      </c>
      <c r="M34">
        <f>MAX(K68:K79)</f>
        <v>5</v>
      </c>
      <c r="N34">
        <f>_xlfn.STDEV.S(K68:K79)</f>
        <v>2.4494897427831779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1.1666666666666667</v>
      </c>
      <c r="J37">
        <f>MAX(G54:G65)</f>
        <v>7</v>
      </c>
      <c r="K37">
        <f>_xlfn.STDEV.S(G54:G65)</f>
        <v>2.2896340848319503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4</v>
      </c>
      <c r="I54">
        <f t="shared" ref="I54:I65" si="5">IF(ISBLANK(B4),"",J4)</f>
        <v>0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2</v>
      </c>
      <c r="V54">
        <f t="shared" ref="V54:V65" si="14">IF($G4="i", $I4, "")</f>
        <v>1</v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2</v>
      </c>
      <c r="E55">
        <f t="shared" si="3"/>
        <v>0</v>
      </c>
      <c r="G55">
        <f t="shared" si="4"/>
        <v>0</v>
      </c>
      <c r="I55">
        <f t="shared" si="5"/>
        <v>1</v>
      </c>
      <c r="K55">
        <f t="shared" si="6"/>
        <v>4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2</v>
      </c>
      <c r="C56">
        <f t="shared" si="2"/>
        <v>1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2</v>
      </c>
      <c r="E57">
        <f t="shared" si="3"/>
        <v>7</v>
      </c>
      <c r="G57">
        <f t="shared" si="4"/>
        <v>0</v>
      </c>
      <c r="I57">
        <f t="shared" si="5"/>
        <v>0</v>
      </c>
      <c r="K57">
        <f t="shared" si="6"/>
        <v>10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0</v>
      </c>
      <c r="E58">
        <f t="shared" si="3"/>
        <v>0</v>
      </c>
      <c r="G58">
        <f t="shared" si="4"/>
        <v>3</v>
      </c>
      <c r="I58">
        <f t="shared" si="5"/>
        <v>1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>
        <f t="shared" si="17"/>
        <v>1</v>
      </c>
      <c r="AE58">
        <f t="shared" si="18"/>
        <v>1</v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8</v>
      </c>
      <c r="G59">
        <f t="shared" si="4"/>
        <v>0</v>
      </c>
      <c r="I59">
        <f t="shared" si="5"/>
        <v>0</v>
      </c>
      <c r="K59">
        <f t="shared" si="6"/>
        <v>8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3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6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4</v>
      </c>
      <c r="E61">
        <f t="shared" si="3"/>
        <v>5</v>
      </c>
      <c r="G61">
        <f t="shared" si="4"/>
        <v>0</v>
      </c>
      <c r="I61">
        <f t="shared" si="5"/>
        <v>0</v>
      </c>
      <c r="K61">
        <f t="shared" si="6"/>
        <v>9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0</v>
      </c>
      <c r="E62">
        <f t="shared" si="3"/>
        <v>0</v>
      </c>
      <c r="G62">
        <f t="shared" si="4"/>
        <v>7</v>
      </c>
      <c r="I62">
        <f t="shared" si="5"/>
        <v>4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2</v>
      </c>
      <c r="V62">
        <f t="shared" si="14"/>
        <v>2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1</v>
      </c>
      <c r="K63">
        <f t="shared" si="6"/>
        <v>3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4</v>
      </c>
      <c r="E64">
        <f t="shared" si="3"/>
        <v>3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0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5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6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2</v>
      </c>
      <c r="V65">
        <f t="shared" si="14"/>
        <v>1</v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11</v>
      </c>
      <c r="V66">
        <f>SUM(V54:V65)</f>
        <v>8</v>
      </c>
      <c r="Y66">
        <f>SUM(Y54:Y65)</f>
        <v>10</v>
      </c>
      <c r="AA66">
        <f>SUM(AA54:AA65)</f>
        <v>10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2</v>
      </c>
      <c r="G68">
        <f>AVERAGE(E68:E79)</f>
        <v>5.583333333333333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3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1</v>
      </c>
      <c r="E71">
        <f t="shared" si="21"/>
        <v>11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4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9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10</v>
      </c>
      <c r="I75">
        <f t="shared" si="22"/>
        <v>5</v>
      </c>
      <c r="K75">
        <f t="shared" si="23"/>
        <v>5</v>
      </c>
    </row>
    <row r="76" spans="1:31" x14ac:dyDescent="0.2">
      <c r="A76">
        <f t="shared" si="19"/>
        <v>2</v>
      </c>
      <c r="C76">
        <f t="shared" si="20"/>
        <v>1</v>
      </c>
      <c r="E76">
        <f t="shared" si="21"/>
        <v>3</v>
      </c>
      <c r="I76">
        <f t="shared" si="22"/>
        <v>0</v>
      </c>
      <c r="K76">
        <f t="shared" si="23"/>
        <v>0</v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4</v>
      </c>
      <c r="I77">
        <f t="shared" si="22"/>
        <v>0</v>
      </c>
      <c r="K77">
        <f t="shared" si="23"/>
        <v>0</v>
      </c>
    </row>
    <row r="78" spans="1:31" x14ac:dyDescent="0.2">
      <c r="A78">
        <f t="shared" si="19"/>
        <v>0</v>
      </c>
      <c r="C78">
        <f t="shared" si="20"/>
        <v>1</v>
      </c>
      <c r="E78">
        <f t="shared" si="21"/>
        <v>7</v>
      </c>
      <c r="I78">
        <f t="shared" si="22"/>
        <v>3</v>
      </c>
      <c r="K78">
        <f t="shared" si="23"/>
        <v>3</v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6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8</v>
      </c>
      <c r="K80">
        <f>SUM(K68:K79)</f>
        <v>8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>
        <f>IF(H4 &gt;= 2, 2, "")</f>
        <v>2</v>
      </c>
      <c r="H82">
        <f>IF(H4 &gt;= 2, IF(I4 &gt; 2, 2, I4), "")</f>
        <v>1</v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>
        <f t="shared" si="26"/>
        <v>2</v>
      </c>
      <c r="H90">
        <f t="shared" si="27"/>
        <v>2</v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>
        <f t="shared" si="26"/>
        <v>2</v>
      </c>
      <c r="H93">
        <f t="shared" si="27"/>
        <v>1</v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6</v>
      </c>
      <c r="H94">
        <f>SUM(H82:H93)</f>
        <v>4</v>
      </c>
    </row>
  </sheetData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G4" t="s">
        <v>188</v>
      </c>
      <c r="H4">
        <v>1</v>
      </c>
      <c r="I4">
        <v>1</v>
      </c>
      <c r="J4">
        <v>1</v>
      </c>
      <c r="K4">
        <v>5</v>
      </c>
      <c r="O4">
        <v>5</v>
      </c>
      <c r="P4">
        <v>5</v>
      </c>
      <c r="X4">
        <v>1</v>
      </c>
    </row>
    <row r="5" spans="1:66" x14ac:dyDescent="0.2">
      <c r="A5">
        <v>2</v>
      </c>
      <c r="B5">
        <v>17</v>
      </c>
      <c r="D5" t="s">
        <v>185</v>
      </c>
      <c r="E5">
        <v>1</v>
      </c>
      <c r="F5">
        <v>1</v>
      </c>
      <c r="K5">
        <v>6</v>
      </c>
      <c r="O5">
        <v>4</v>
      </c>
      <c r="P5">
        <v>4</v>
      </c>
      <c r="X5">
        <v>1</v>
      </c>
    </row>
    <row r="6" spans="1:66" x14ac:dyDescent="0.2">
      <c r="A6">
        <v>3</v>
      </c>
      <c r="B6">
        <v>28</v>
      </c>
      <c r="G6" t="s">
        <v>188</v>
      </c>
      <c r="H6">
        <v>1</v>
      </c>
      <c r="I6">
        <v>1</v>
      </c>
      <c r="J6">
        <v>1</v>
      </c>
      <c r="K6">
        <v>4</v>
      </c>
      <c r="N6">
        <v>2</v>
      </c>
      <c r="O6">
        <v>2</v>
      </c>
      <c r="P6">
        <v>2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37</v>
      </c>
      <c r="K7">
        <v>7</v>
      </c>
      <c r="O7">
        <v>8</v>
      </c>
      <c r="P7">
        <v>4</v>
      </c>
      <c r="X7">
        <v>1</v>
      </c>
    </row>
    <row r="8" spans="1:66" x14ac:dyDescent="0.2">
      <c r="A8">
        <v>5</v>
      </c>
      <c r="B8">
        <v>42</v>
      </c>
      <c r="C8">
        <v>1</v>
      </c>
      <c r="G8" t="s">
        <v>185</v>
      </c>
      <c r="H8">
        <v>1</v>
      </c>
      <c r="I8">
        <v>1</v>
      </c>
      <c r="O8">
        <v>4</v>
      </c>
      <c r="P8">
        <v>4</v>
      </c>
      <c r="U8">
        <v>1</v>
      </c>
      <c r="V8">
        <v>1</v>
      </c>
      <c r="W8" t="s">
        <v>189</v>
      </c>
    </row>
    <row r="9" spans="1:66" x14ac:dyDescent="0.2">
      <c r="A9">
        <v>6</v>
      </c>
      <c r="B9">
        <v>57</v>
      </c>
      <c r="C9">
        <v>1</v>
      </c>
      <c r="G9" t="s">
        <v>185</v>
      </c>
      <c r="H9">
        <v>1</v>
      </c>
      <c r="I9">
        <v>1</v>
      </c>
      <c r="J9">
        <v>1</v>
      </c>
      <c r="K9">
        <v>5</v>
      </c>
      <c r="O9">
        <v>5</v>
      </c>
      <c r="P9">
        <v>3</v>
      </c>
      <c r="X9">
        <v>1</v>
      </c>
    </row>
    <row r="10" spans="1:66" x14ac:dyDescent="0.2">
      <c r="A10">
        <v>7</v>
      </c>
      <c r="B10">
        <v>67</v>
      </c>
      <c r="G10" t="s">
        <v>185</v>
      </c>
      <c r="H10">
        <v>1</v>
      </c>
      <c r="I10">
        <v>1</v>
      </c>
      <c r="K10">
        <v>7</v>
      </c>
      <c r="O10">
        <v>6</v>
      </c>
      <c r="P10">
        <v>6</v>
      </c>
    </row>
    <row r="11" spans="1:66" x14ac:dyDescent="0.2">
      <c r="A11">
        <v>8</v>
      </c>
      <c r="B11">
        <v>73</v>
      </c>
      <c r="D11" t="s">
        <v>188</v>
      </c>
      <c r="E11">
        <v>1</v>
      </c>
      <c r="F11">
        <v>1</v>
      </c>
      <c r="J11">
        <v>2</v>
      </c>
      <c r="K11">
        <v>3</v>
      </c>
      <c r="O11">
        <v>5</v>
      </c>
      <c r="P11">
        <v>5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83</v>
      </c>
      <c r="G12" t="s">
        <v>188</v>
      </c>
      <c r="H12">
        <v>1</v>
      </c>
      <c r="I12">
        <v>1</v>
      </c>
      <c r="J12">
        <v>5</v>
      </c>
      <c r="K12">
        <v>4</v>
      </c>
      <c r="N12">
        <v>6</v>
      </c>
      <c r="O12">
        <v>1</v>
      </c>
      <c r="P12">
        <v>1</v>
      </c>
      <c r="U12">
        <v>1</v>
      </c>
      <c r="X12">
        <v>1</v>
      </c>
    </row>
    <row r="13" spans="1:66" x14ac:dyDescent="0.2">
      <c r="A13">
        <v>10</v>
      </c>
      <c r="B13">
        <v>94</v>
      </c>
      <c r="D13" t="s">
        <v>185</v>
      </c>
      <c r="E13">
        <v>1</v>
      </c>
      <c r="F13">
        <v>1</v>
      </c>
      <c r="J13">
        <v>3</v>
      </c>
      <c r="K13">
        <v>4</v>
      </c>
      <c r="N13">
        <v>1</v>
      </c>
      <c r="O13">
        <v>5</v>
      </c>
      <c r="P13">
        <v>4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106</v>
      </c>
      <c r="C14">
        <v>1</v>
      </c>
      <c r="G14" t="s">
        <v>188</v>
      </c>
      <c r="H14">
        <v>1</v>
      </c>
      <c r="I14">
        <v>1</v>
      </c>
      <c r="J14">
        <v>2</v>
      </c>
      <c r="K14">
        <v>3</v>
      </c>
      <c r="O14">
        <v>4</v>
      </c>
      <c r="P14">
        <v>2</v>
      </c>
      <c r="X14">
        <v>1</v>
      </c>
    </row>
    <row r="15" spans="1:66" x14ac:dyDescent="0.2">
      <c r="A15">
        <v>12</v>
      </c>
      <c r="B15">
        <v>118</v>
      </c>
      <c r="J15">
        <v>1</v>
      </c>
      <c r="K15">
        <v>4</v>
      </c>
      <c r="O15">
        <v>3</v>
      </c>
      <c r="P15">
        <v>3</v>
      </c>
      <c r="Q15">
        <v>2</v>
      </c>
      <c r="R15">
        <v>2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3</v>
      </c>
      <c r="E16">
        <f>SUM(E4:E15)</f>
        <v>3</v>
      </c>
      <c r="F16">
        <f>SUM(F4:F15)</f>
        <v>3</v>
      </c>
      <c r="H16">
        <f t="shared" ref="H16:P16" si="0">SUM(H4:H15)</f>
        <v>7</v>
      </c>
      <c r="I16">
        <f t="shared" si="0"/>
        <v>7</v>
      </c>
      <c r="J16">
        <f t="shared" si="0"/>
        <v>16</v>
      </c>
      <c r="K16">
        <f t="shared" si="0"/>
        <v>52</v>
      </c>
      <c r="L16">
        <f t="shared" si="0"/>
        <v>0</v>
      </c>
      <c r="M16">
        <f t="shared" si="0"/>
        <v>0</v>
      </c>
      <c r="N16">
        <f t="shared" si="0"/>
        <v>9</v>
      </c>
      <c r="O16">
        <f t="shared" si="0"/>
        <v>52</v>
      </c>
      <c r="P16">
        <f t="shared" si="0"/>
        <v>43</v>
      </c>
      <c r="Q16">
        <f>SUM(Q4:Q15)</f>
        <v>2</v>
      </c>
      <c r="R16">
        <f>SUM(R4:R15)</f>
        <v>2</v>
      </c>
      <c r="S16">
        <f>SUM(S4:S15)</f>
        <v>4</v>
      </c>
      <c r="T16">
        <v>0</v>
      </c>
      <c r="U16">
        <f>SUM(U4:U15)</f>
        <v>2</v>
      </c>
      <c r="V16">
        <f>SUM(V4:V15)</f>
        <v>1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0.82692307692307687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1</v>
      </c>
      <c r="I22" t="s">
        <v>23</v>
      </c>
      <c r="N22">
        <f>AVERAGE(I54:I65)</f>
        <v>1.3333333333333333</v>
      </c>
      <c r="O22">
        <f>MEDIAN(I54:I65)</f>
        <v>1</v>
      </c>
      <c r="P22">
        <f>MAX(I54:I65)</f>
        <v>5</v>
      </c>
      <c r="Q22">
        <f>_xlfn.STDEV.S(I54:I65)</f>
        <v>1.4974726182552529</v>
      </c>
      <c r="S22">
        <f>V16/U16</f>
        <v>0.5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1</v>
      </c>
      <c r="F24">
        <f>V66/U66</f>
        <v>1</v>
      </c>
      <c r="I24">
        <f>AVERAGE(A54:A65)</f>
        <v>3.5833333333333335</v>
      </c>
      <c r="J24">
        <f>MAX(A54:A65)</f>
        <v>6</v>
      </c>
      <c r="K24">
        <f>_xlfn.STDEV.S(A54:A65)</f>
        <v>1.4433756729740641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4.333333333333333</v>
      </c>
      <c r="O25">
        <f>MEDIAN(K54:K65)</f>
        <v>4</v>
      </c>
      <c r="P25">
        <f>MAX(K54:K65)</f>
        <v>7</v>
      </c>
      <c r="Q25">
        <f>_xlfn.STDEV.S(K54:K65)</f>
        <v>1.9227505550564004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0.25</v>
      </c>
      <c r="F26">
        <f>I16/A19</f>
        <v>0.58333333333333337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0.23529411764705882</v>
      </c>
    </row>
    <row r="29" spans="1:66" x14ac:dyDescent="0.2">
      <c r="D29">
        <f>_xlfn.STDEV.S(A68:A79)</f>
        <v>0</v>
      </c>
      <c r="I29">
        <f>AVERAGE(C54:C65)</f>
        <v>0.16666666666666666</v>
      </c>
      <c r="J29">
        <f>MAX(C54:C65)</f>
        <v>2</v>
      </c>
      <c r="K29">
        <f>_xlfn.STDEV.S(C54:C65)</f>
        <v>0.57735026918962573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0.76470588235294112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</v>
      </c>
      <c r="J34">
        <f>MAX(E54:E65)</f>
        <v>0</v>
      </c>
      <c r="K34">
        <f>_xlfn.STDEV.S(E54:E65)</f>
        <v>0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0.75</v>
      </c>
      <c r="J37">
        <f>MAX(G54:G65)</f>
        <v>6</v>
      </c>
      <c r="K37">
        <f>_xlfn.STDEV.S(G54:G65)</f>
        <v>1.764549903980152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5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6</v>
      </c>
      <c r="N55">
        <f t="shared" si="7"/>
        <v>1</v>
      </c>
      <c r="O55">
        <f t="shared" si="8"/>
        <v>1</v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2</v>
      </c>
      <c r="C56">
        <f t="shared" si="2"/>
        <v>0</v>
      </c>
      <c r="E56">
        <f t="shared" si="3"/>
        <v>0</v>
      </c>
      <c r="G56">
        <f t="shared" si="4"/>
        <v>2</v>
      </c>
      <c r="I56">
        <f t="shared" si="5"/>
        <v>1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4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7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4</v>
      </c>
      <c r="C58">
        <f t="shared" si="2"/>
        <v>0</v>
      </c>
      <c r="E58">
        <f t="shared" si="3"/>
        <v>0</v>
      </c>
      <c r="G58">
        <f t="shared" si="4"/>
        <v>0</v>
      </c>
      <c r="I58">
        <f t="shared" si="5"/>
        <v>0</v>
      </c>
      <c r="K58">
        <f t="shared" si="6"/>
        <v>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>
        <f t="shared" si="17"/>
        <v>1</v>
      </c>
      <c r="AE58">
        <f t="shared" si="18"/>
        <v>1</v>
      </c>
    </row>
    <row r="59" spans="1:44" x14ac:dyDescent="0.2">
      <c r="A59">
        <f t="shared" si="1"/>
        <v>3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1</v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6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5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2</v>
      </c>
      <c r="K61">
        <f t="shared" si="6"/>
        <v>3</v>
      </c>
      <c r="N61" t="str">
        <f t="shared" si="7"/>
        <v/>
      </c>
      <c r="O61" t="str">
        <f t="shared" si="8"/>
        <v/>
      </c>
      <c r="P61">
        <f t="shared" si="9"/>
        <v>1</v>
      </c>
      <c r="Q61">
        <f t="shared" si="10"/>
        <v>1</v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0</v>
      </c>
      <c r="E62">
        <f t="shared" si="3"/>
        <v>0</v>
      </c>
      <c r="G62">
        <f t="shared" si="4"/>
        <v>6</v>
      </c>
      <c r="I62">
        <f t="shared" si="5"/>
        <v>5</v>
      </c>
      <c r="K62">
        <f t="shared" si="6"/>
        <v>4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1</v>
      </c>
      <c r="I63">
        <f t="shared" si="5"/>
        <v>3</v>
      </c>
      <c r="K63">
        <f t="shared" si="6"/>
        <v>4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2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2</v>
      </c>
      <c r="K64">
        <f t="shared" si="6"/>
        <v>3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3</v>
      </c>
      <c r="C65">
        <f t="shared" si="2"/>
        <v>2</v>
      </c>
      <c r="E65">
        <f t="shared" si="3"/>
        <v>0</v>
      </c>
      <c r="G65">
        <f t="shared" si="4"/>
        <v>0</v>
      </c>
      <c r="I65">
        <f t="shared" si="5"/>
        <v>1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2</v>
      </c>
      <c r="P66">
        <f>SUM(P54:P65)</f>
        <v>1</v>
      </c>
      <c r="Q66">
        <f>SUM(Q54:Q65)</f>
        <v>1</v>
      </c>
      <c r="S66">
        <f>SUM(S54:S65)</f>
        <v>3</v>
      </c>
      <c r="T66">
        <f>SUM(T54:T65)</f>
        <v>3</v>
      </c>
      <c r="U66">
        <f>SUM(U54:U65)</f>
        <v>4</v>
      </c>
      <c r="V66">
        <f>SUM(V54:V65)</f>
        <v>4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6</v>
      </c>
      <c r="G68">
        <f>AVERAGE(E68:E79)</f>
        <v>4.583333333333333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5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3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4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5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4</v>
      </c>
      <c r="I73">
        <f t="shared" si="22"/>
        <v>0</v>
      </c>
      <c r="K73">
        <f t="shared" si="23"/>
        <v>0</v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6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2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3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5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C4">
        <v>1</v>
      </c>
      <c r="G4" t="s">
        <v>185</v>
      </c>
      <c r="H4">
        <v>1</v>
      </c>
      <c r="I4">
        <v>1</v>
      </c>
      <c r="J4">
        <v>4</v>
      </c>
      <c r="N4">
        <v>4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20</v>
      </c>
      <c r="Q5">
        <v>1</v>
      </c>
      <c r="R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27</v>
      </c>
      <c r="C6">
        <v>1</v>
      </c>
      <c r="K6">
        <v>9</v>
      </c>
      <c r="L6">
        <v>8</v>
      </c>
      <c r="M6">
        <v>8</v>
      </c>
      <c r="Q6">
        <v>2</v>
      </c>
      <c r="R6">
        <v>2</v>
      </c>
      <c r="X6">
        <v>1</v>
      </c>
    </row>
    <row r="7" spans="1:66" x14ac:dyDescent="0.2">
      <c r="A7">
        <v>4</v>
      </c>
      <c r="B7">
        <v>32</v>
      </c>
      <c r="J7">
        <v>3</v>
      </c>
      <c r="K7">
        <v>1</v>
      </c>
      <c r="N7">
        <v>5</v>
      </c>
      <c r="X7">
        <v>1</v>
      </c>
    </row>
    <row r="8" spans="1:66" x14ac:dyDescent="0.2">
      <c r="A8">
        <v>5</v>
      </c>
      <c r="B8">
        <v>43</v>
      </c>
      <c r="G8" t="s">
        <v>188</v>
      </c>
      <c r="H8">
        <v>1</v>
      </c>
      <c r="I8">
        <v>1</v>
      </c>
      <c r="J8">
        <v>1</v>
      </c>
      <c r="K8">
        <v>3</v>
      </c>
      <c r="N8">
        <v>3</v>
      </c>
      <c r="X8">
        <v>1</v>
      </c>
    </row>
    <row r="9" spans="1:66" x14ac:dyDescent="0.2">
      <c r="A9">
        <v>6</v>
      </c>
      <c r="B9">
        <v>54</v>
      </c>
      <c r="K9">
        <v>9</v>
      </c>
      <c r="L9">
        <v>9</v>
      </c>
      <c r="M9">
        <v>9</v>
      </c>
      <c r="O9">
        <v>1</v>
      </c>
      <c r="P9">
        <v>1</v>
      </c>
      <c r="X9">
        <v>1</v>
      </c>
    </row>
    <row r="10" spans="1:66" x14ac:dyDescent="0.2">
      <c r="A10">
        <v>7</v>
      </c>
      <c r="B10">
        <v>64</v>
      </c>
      <c r="G10" t="s">
        <v>188</v>
      </c>
      <c r="H10">
        <v>1</v>
      </c>
      <c r="I10">
        <v>1</v>
      </c>
      <c r="K10">
        <v>9</v>
      </c>
      <c r="L10">
        <v>9</v>
      </c>
      <c r="M10">
        <v>9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80</v>
      </c>
      <c r="C11">
        <v>1</v>
      </c>
      <c r="G11" t="s">
        <v>188</v>
      </c>
      <c r="H11">
        <v>1</v>
      </c>
      <c r="I11">
        <v>1</v>
      </c>
      <c r="J11">
        <v>3</v>
      </c>
      <c r="K11">
        <v>5</v>
      </c>
      <c r="L11">
        <v>3</v>
      </c>
      <c r="M11">
        <v>3</v>
      </c>
      <c r="N11">
        <v>1</v>
      </c>
      <c r="Q11">
        <v>2</v>
      </c>
      <c r="R11">
        <v>2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89</v>
      </c>
      <c r="G12" t="s">
        <v>188</v>
      </c>
      <c r="H12">
        <v>1</v>
      </c>
      <c r="I12">
        <v>1</v>
      </c>
      <c r="K12">
        <v>10</v>
      </c>
      <c r="L12">
        <v>5</v>
      </c>
      <c r="M12">
        <v>5</v>
      </c>
      <c r="Q12">
        <v>3</v>
      </c>
      <c r="R12">
        <v>3</v>
      </c>
      <c r="S12">
        <v>1</v>
      </c>
      <c r="T12">
        <v>1</v>
      </c>
      <c r="U12">
        <v>1</v>
      </c>
      <c r="W12" t="s">
        <v>186</v>
      </c>
    </row>
    <row r="13" spans="1:66" x14ac:dyDescent="0.2">
      <c r="A13">
        <v>10</v>
      </c>
      <c r="B13">
        <v>98</v>
      </c>
      <c r="C13">
        <v>1</v>
      </c>
      <c r="G13" t="s">
        <v>188</v>
      </c>
      <c r="H13">
        <v>1</v>
      </c>
      <c r="I13">
        <v>1</v>
      </c>
      <c r="K13">
        <v>8</v>
      </c>
      <c r="L13">
        <v>6</v>
      </c>
      <c r="M13">
        <v>5</v>
      </c>
      <c r="Q13">
        <v>1</v>
      </c>
      <c r="R13">
        <v>1</v>
      </c>
      <c r="X13">
        <v>1</v>
      </c>
    </row>
    <row r="14" spans="1:66" x14ac:dyDescent="0.2">
      <c r="A14">
        <v>11</v>
      </c>
      <c r="B14">
        <v>109</v>
      </c>
      <c r="J14">
        <v>6</v>
      </c>
      <c r="Q14">
        <v>1</v>
      </c>
      <c r="R14">
        <v>1</v>
      </c>
      <c r="S14">
        <v>1</v>
      </c>
      <c r="T14">
        <v>1</v>
      </c>
    </row>
    <row r="15" spans="1:66" x14ac:dyDescent="0.2">
      <c r="A15">
        <v>12</v>
      </c>
      <c r="B15">
        <v>118</v>
      </c>
      <c r="G15" t="s">
        <v>188</v>
      </c>
      <c r="H15">
        <v>1</v>
      </c>
      <c r="K15">
        <v>11</v>
      </c>
      <c r="L15">
        <v>8</v>
      </c>
      <c r="M15">
        <v>8</v>
      </c>
      <c r="Q15">
        <v>6</v>
      </c>
      <c r="R15">
        <v>3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7</v>
      </c>
      <c r="I16">
        <f t="shared" si="0"/>
        <v>6</v>
      </c>
      <c r="J16">
        <f t="shared" si="0"/>
        <v>17</v>
      </c>
      <c r="K16">
        <f t="shared" si="0"/>
        <v>65</v>
      </c>
      <c r="L16">
        <f t="shared" si="0"/>
        <v>48</v>
      </c>
      <c r="M16">
        <f t="shared" si="0"/>
        <v>47</v>
      </c>
      <c r="N16">
        <f t="shared" si="0"/>
        <v>13</v>
      </c>
      <c r="O16">
        <f t="shared" si="0"/>
        <v>1</v>
      </c>
      <c r="P16">
        <f t="shared" si="0"/>
        <v>1</v>
      </c>
      <c r="Q16">
        <f>SUM(Q4:Q15)</f>
        <v>16</v>
      </c>
      <c r="R16">
        <f>SUM(R4:R15)</f>
        <v>13</v>
      </c>
      <c r="S16">
        <f>SUM(S4:S15)</f>
        <v>7</v>
      </c>
      <c r="T16">
        <v>0</v>
      </c>
      <c r="U16">
        <f>SUM(U4:U15)</f>
        <v>1</v>
      </c>
      <c r="V16">
        <f>SUM(V4:V15)</f>
        <v>0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0.8571428571428571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1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1.4166666666666667</v>
      </c>
      <c r="O22">
        <f>MEDIAN(I54:I65)</f>
        <v>0</v>
      </c>
      <c r="P22">
        <f>MAX(I54:I65)</f>
        <v>6</v>
      </c>
      <c r="Q22">
        <f>_xlfn.STDEV.S(I54:I65)</f>
        <v>2.0652243256245835</v>
      </c>
      <c r="S22">
        <f>V16/U16</f>
        <v>0</v>
      </c>
      <c r="U22">
        <f>AA66/Y66</f>
        <v>0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0.83333333333333337</v>
      </c>
      <c r="I24">
        <f>AVERAGE(A54:A65)</f>
        <v>8.3333333333333329E-2</v>
      </c>
      <c r="J24">
        <f>MAX(A54:A65)</f>
        <v>1</v>
      </c>
      <c r="K24">
        <f>_xlfn.STDEV.S(A54:A65)</f>
        <v>0.28867513459481287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5.416666666666667</v>
      </c>
      <c r="O25">
        <f>MEDIAN(K54:K65)</f>
        <v>6.5</v>
      </c>
      <c r="P25">
        <f>MAX(K54:K65)</f>
        <v>11</v>
      </c>
      <c r="Q25">
        <f>_xlfn.STDEV.S(K54:K65)</f>
        <v>4.3788403058620924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0.5</v>
      </c>
      <c r="I26">
        <f>R16/Q16</f>
        <v>0.8125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0.2073170731707317</v>
      </c>
    </row>
    <row r="29" spans="1:66" x14ac:dyDescent="0.2">
      <c r="D29">
        <f>_xlfn.STDEV.S(A68:A79)</f>
        <v>0.37796447300922714</v>
      </c>
      <c r="I29">
        <f>AVERAGE(C54:C65)</f>
        <v>1.0833333333333333</v>
      </c>
      <c r="J29">
        <f>MAX(C54:C65)</f>
        <v>3</v>
      </c>
      <c r="K29">
        <f>_xlfn.STDEV.S(C54:C65)</f>
        <v>1.164500152881315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0.79268292682926833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0.97916666666666663</v>
      </c>
      <c r="L31">
        <f>K80/I80</f>
        <v>0.94117647058823528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3.9166666666666665</v>
      </c>
      <c r="J34">
        <f>MAX(E54:E65)</f>
        <v>9</v>
      </c>
      <c r="K34">
        <f>_xlfn.STDEV.S(E54:E65)</f>
        <v>3.8720051965905524</v>
      </c>
      <c r="L34">
        <f>AVERAGE(K68:K79)</f>
        <v>4</v>
      </c>
      <c r="M34">
        <f>MAX(K68:K79)</f>
        <v>8</v>
      </c>
      <c r="N34">
        <f>_xlfn.STDEV.S(K68:K79)</f>
        <v>3.3665016461206929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1.0833333333333333</v>
      </c>
      <c r="J37">
        <f>MAX(G54:G65)</f>
        <v>5</v>
      </c>
      <c r="K37">
        <f>_xlfn.STDEV.S(G54:G65)</f>
        <v>1.8319554050414562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4</v>
      </c>
      <c r="I54">
        <f t="shared" ref="I54:I65" si="5">IF(ISBLANK(B4),"",J4)</f>
        <v>4</v>
      </c>
      <c r="K54">
        <f t="shared" ref="K54:K65" si="6">IF(ISBLANK(B4),"",K4)</f>
        <v>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0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2</v>
      </c>
      <c r="E56">
        <f t="shared" si="3"/>
        <v>8</v>
      </c>
      <c r="G56">
        <f t="shared" si="4"/>
        <v>0</v>
      </c>
      <c r="I56">
        <f t="shared" si="5"/>
        <v>0</v>
      </c>
      <c r="K56">
        <f t="shared" si="6"/>
        <v>9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5</v>
      </c>
      <c r="I57">
        <f t="shared" si="5"/>
        <v>3</v>
      </c>
      <c r="K57">
        <f t="shared" si="6"/>
        <v>1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0</v>
      </c>
      <c r="G58">
        <f t="shared" si="4"/>
        <v>3</v>
      </c>
      <c r="I58">
        <f t="shared" si="5"/>
        <v>1</v>
      </c>
      <c r="K58">
        <f t="shared" si="6"/>
        <v>3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1</v>
      </c>
      <c r="C59">
        <f t="shared" si="2"/>
        <v>0</v>
      </c>
      <c r="E59">
        <f t="shared" si="3"/>
        <v>9</v>
      </c>
      <c r="G59">
        <f t="shared" si="4"/>
        <v>0</v>
      </c>
      <c r="I59">
        <f t="shared" si="5"/>
        <v>0</v>
      </c>
      <c r="K59">
        <f t="shared" si="6"/>
        <v>9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9</v>
      </c>
      <c r="G60">
        <f t="shared" si="4"/>
        <v>0</v>
      </c>
      <c r="I60">
        <f t="shared" si="5"/>
        <v>0</v>
      </c>
      <c r="K60">
        <f t="shared" si="6"/>
        <v>9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2</v>
      </c>
      <c r="E61">
        <f t="shared" si="3"/>
        <v>3</v>
      </c>
      <c r="G61">
        <f t="shared" si="4"/>
        <v>1</v>
      </c>
      <c r="I61">
        <f t="shared" si="5"/>
        <v>3</v>
      </c>
      <c r="K61">
        <f t="shared" si="6"/>
        <v>5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3</v>
      </c>
      <c r="E62">
        <f t="shared" si="3"/>
        <v>5</v>
      </c>
      <c r="G62">
        <f t="shared" si="4"/>
        <v>0</v>
      </c>
      <c r="I62">
        <f t="shared" si="5"/>
        <v>0</v>
      </c>
      <c r="K62">
        <f t="shared" si="6"/>
        <v>10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>
        <f t="shared" si="15"/>
        <v>1</v>
      </c>
      <c r="AA62">
        <f t="shared" si="16"/>
        <v>0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1</v>
      </c>
      <c r="E63">
        <f t="shared" si="3"/>
        <v>5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0</v>
      </c>
      <c r="G64">
        <f t="shared" si="4"/>
        <v>0</v>
      </c>
      <c r="I64">
        <f t="shared" si="5"/>
        <v>6</v>
      </c>
      <c r="K64">
        <f t="shared" si="6"/>
        <v>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3</v>
      </c>
      <c r="E65">
        <f t="shared" si="3"/>
        <v>8</v>
      </c>
      <c r="G65">
        <f t="shared" si="4"/>
        <v>0</v>
      </c>
      <c r="I65">
        <f t="shared" si="5"/>
        <v>0</v>
      </c>
      <c r="K65">
        <f t="shared" si="6"/>
        <v>11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>
        <f t="shared" si="13"/>
        <v>1</v>
      </c>
      <c r="V65">
        <f t="shared" si="14"/>
        <v>0</v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1</v>
      </c>
      <c r="U66">
        <f>SUM(U54:U65)</f>
        <v>6</v>
      </c>
      <c r="V66">
        <f>SUM(V54:V65)</f>
        <v>5</v>
      </c>
      <c r="Y66">
        <f>SUM(Y54:Y65)</f>
        <v>1</v>
      </c>
      <c r="AA66">
        <f>SUM(AA54:AA65)</f>
        <v>0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0</v>
      </c>
      <c r="E68">
        <f t="shared" ref="E68:E79" si="21">IF(ISBLANK(B4), "", SUM(F4, I4, M4, P4, R4))</f>
        <v>1</v>
      </c>
      <c r="G68">
        <f>AVERAGE(E68:E79)</f>
        <v>5.583333333333333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1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10</v>
      </c>
      <c r="I70">
        <f t="shared" si="22"/>
        <v>8</v>
      </c>
      <c r="K70">
        <f t="shared" si="23"/>
        <v>8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0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10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10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6</v>
      </c>
      <c r="I75">
        <f t="shared" si="22"/>
        <v>3</v>
      </c>
      <c r="K75">
        <f t="shared" si="23"/>
        <v>3</v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9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7</v>
      </c>
      <c r="I77">
        <f t="shared" si="22"/>
        <v>6</v>
      </c>
      <c r="K77">
        <f t="shared" si="23"/>
        <v>5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1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0</v>
      </c>
      <c r="C79">
        <f t="shared" si="20"/>
        <v>0</v>
      </c>
      <c r="E79">
        <f t="shared" si="21"/>
        <v>11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17</v>
      </c>
      <c r="K80">
        <f>SUM(K68:K79)</f>
        <v>16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9</v>
      </c>
      <c r="C4">
        <v>1</v>
      </c>
      <c r="G4" t="s">
        <v>185</v>
      </c>
      <c r="H4">
        <v>1</v>
      </c>
      <c r="K4">
        <v>6</v>
      </c>
      <c r="L4">
        <v>7</v>
      </c>
      <c r="M4">
        <v>7</v>
      </c>
      <c r="Q4">
        <v>1</v>
      </c>
      <c r="R4">
        <v>1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18</v>
      </c>
      <c r="C5">
        <v>1</v>
      </c>
      <c r="G5" t="s">
        <v>188</v>
      </c>
      <c r="H5">
        <v>1</v>
      </c>
      <c r="K5">
        <v>11</v>
      </c>
      <c r="L5">
        <v>10</v>
      </c>
      <c r="M5">
        <v>9</v>
      </c>
      <c r="Q5">
        <v>2</v>
      </c>
      <c r="R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25</v>
      </c>
      <c r="K6">
        <v>10</v>
      </c>
      <c r="L6">
        <v>8</v>
      </c>
      <c r="M6">
        <v>7</v>
      </c>
      <c r="Q6">
        <v>3</v>
      </c>
      <c r="R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31</v>
      </c>
      <c r="J7">
        <v>2</v>
      </c>
      <c r="K7">
        <v>4</v>
      </c>
      <c r="N7">
        <v>4</v>
      </c>
      <c r="Q7">
        <v>1</v>
      </c>
      <c r="R7">
        <v>1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44</v>
      </c>
      <c r="C8">
        <v>1</v>
      </c>
      <c r="K8">
        <v>8</v>
      </c>
      <c r="L8">
        <v>6</v>
      </c>
      <c r="M8">
        <v>6</v>
      </c>
      <c r="Q8">
        <v>3</v>
      </c>
      <c r="R8">
        <v>3</v>
      </c>
      <c r="U8">
        <v>1</v>
      </c>
      <c r="V8">
        <v>1</v>
      </c>
      <c r="W8" t="s">
        <v>189</v>
      </c>
    </row>
    <row r="9" spans="1:66" x14ac:dyDescent="0.2">
      <c r="A9">
        <v>6</v>
      </c>
      <c r="B9">
        <v>51</v>
      </c>
      <c r="G9" t="s">
        <v>188</v>
      </c>
      <c r="H9">
        <v>1</v>
      </c>
      <c r="J9">
        <v>2</v>
      </c>
      <c r="K9">
        <v>2</v>
      </c>
      <c r="N9">
        <v>3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61</v>
      </c>
      <c r="K10">
        <v>7</v>
      </c>
      <c r="L10">
        <v>7</v>
      </c>
      <c r="M10">
        <v>5</v>
      </c>
    </row>
    <row r="11" spans="1:66" x14ac:dyDescent="0.2">
      <c r="A11">
        <v>8</v>
      </c>
      <c r="B11">
        <v>78</v>
      </c>
      <c r="C11">
        <v>1</v>
      </c>
      <c r="G11" t="s">
        <v>185</v>
      </c>
      <c r="H11">
        <v>1</v>
      </c>
      <c r="I11">
        <v>1</v>
      </c>
      <c r="X11">
        <v>1</v>
      </c>
    </row>
    <row r="12" spans="1:66" x14ac:dyDescent="0.2">
      <c r="A12">
        <v>9</v>
      </c>
      <c r="B12">
        <v>88</v>
      </c>
      <c r="K12">
        <v>2</v>
      </c>
      <c r="L12">
        <v>2</v>
      </c>
      <c r="M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99</v>
      </c>
      <c r="K13">
        <v>1</v>
      </c>
      <c r="L13">
        <v>2</v>
      </c>
      <c r="M13">
        <v>2</v>
      </c>
      <c r="Q13">
        <v>1</v>
      </c>
      <c r="R13">
        <v>1</v>
      </c>
      <c r="X13">
        <v>1</v>
      </c>
    </row>
    <row r="14" spans="1:66" x14ac:dyDescent="0.2">
      <c r="A14">
        <v>11</v>
      </c>
      <c r="B14">
        <v>106</v>
      </c>
      <c r="K14">
        <v>8</v>
      </c>
      <c r="L14">
        <v>8</v>
      </c>
      <c r="M14">
        <v>8</v>
      </c>
      <c r="X14">
        <v>1</v>
      </c>
    </row>
    <row r="15" spans="1:66" x14ac:dyDescent="0.2">
      <c r="A15">
        <v>12</v>
      </c>
      <c r="B15">
        <v>117</v>
      </c>
      <c r="K15">
        <v>9</v>
      </c>
      <c r="L15">
        <v>9</v>
      </c>
      <c r="M15">
        <v>9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4</v>
      </c>
      <c r="I16">
        <f t="shared" si="0"/>
        <v>1</v>
      </c>
      <c r="J16">
        <f t="shared" si="0"/>
        <v>4</v>
      </c>
      <c r="K16">
        <f t="shared" si="0"/>
        <v>68</v>
      </c>
      <c r="L16">
        <f t="shared" si="0"/>
        <v>59</v>
      </c>
      <c r="M16">
        <f t="shared" si="0"/>
        <v>55</v>
      </c>
      <c r="N16">
        <f t="shared" si="0"/>
        <v>7</v>
      </c>
      <c r="O16">
        <f t="shared" si="0"/>
        <v>0</v>
      </c>
      <c r="P16">
        <f t="shared" si="0"/>
        <v>0</v>
      </c>
      <c r="Q16">
        <f>SUM(Q4:Q15)</f>
        <v>11</v>
      </c>
      <c r="R16">
        <f>SUM(R4:R15)</f>
        <v>11</v>
      </c>
      <c r="S16">
        <f>SUM(S4:S15)</f>
        <v>7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0.25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0.5</v>
      </c>
      <c r="I22" t="s">
        <v>23</v>
      </c>
      <c r="N22">
        <f>AVERAGE(I54:I65)</f>
        <v>0.33333333333333331</v>
      </c>
      <c r="O22">
        <f>MEDIAN(I54:I65)</f>
        <v>0</v>
      </c>
      <c r="P22">
        <f>MAX(I54:I65)</f>
        <v>2</v>
      </c>
      <c r="Q22">
        <f>_xlfn.STDEV.S(I54:I65)</f>
        <v>0.77849894416152299</v>
      </c>
      <c r="S22">
        <f>V16/U16</f>
        <v>1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5.666666666666667</v>
      </c>
      <c r="O25">
        <f>MEDIAN(K54:K65)</f>
        <v>6.5</v>
      </c>
      <c r="P25">
        <f>MAX(K54:K65)</f>
        <v>11</v>
      </c>
      <c r="Q25">
        <f>_xlfn.STDEV.S(K54:K65)</f>
        <v>3.7497474662443686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8.3333333333333329E-2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5.5555555555555552E-2</v>
      </c>
    </row>
    <row r="29" spans="1:66" x14ac:dyDescent="0.2">
      <c r="D29">
        <f>_xlfn.STDEV.S(A68:A79)</f>
        <v>0.5</v>
      </c>
      <c r="I29">
        <f>AVERAGE(C54:C65)</f>
        <v>0.91666666666666663</v>
      </c>
      <c r="J29">
        <f>MAX(C54:C65)</f>
        <v>3</v>
      </c>
      <c r="K29">
        <f>_xlfn.STDEV.S(C54:C65)</f>
        <v>1.164500152881315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0.94444444444444442</v>
      </c>
      <c r="S30">
        <f>_xlfn.STDEV.S(C68:C79)</f>
        <v>0.28867513459481287</v>
      </c>
    </row>
    <row r="31" spans="1:66" x14ac:dyDescent="0.2">
      <c r="D31" t="s">
        <v>179</v>
      </c>
      <c r="F31" t="s">
        <v>180</v>
      </c>
      <c r="I31">
        <f>M16/L16</f>
        <v>0.93220338983050843</v>
      </c>
      <c r="L31">
        <f>K80/I80</f>
        <v>0.95652173913043481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4.583333333333333</v>
      </c>
      <c r="J34">
        <f>MAX(E54:E65)</f>
        <v>9</v>
      </c>
      <c r="K34">
        <f>_xlfn.STDEV.S(E54:E65)</f>
        <v>3.579190699111471</v>
      </c>
      <c r="L34">
        <f>AVERAGE(K68:K79)</f>
        <v>5.5</v>
      </c>
      <c r="M34">
        <f>MAX(K68:K79)</f>
        <v>9</v>
      </c>
      <c r="N34">
        <f>_xlfn.STDEV.S(K68:K79)</f>
        <v>3.872983346207417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0.58333333333333337</v>
      </c>
      <c r="J37">
        <f>MAX(G54:G65)</f>
        <v>4</v>
      </c>
      <c r="K37">
        <f>_xlfn.STDEV.S(G54:G65)</f>
        <v>1.378954368902449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7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0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2</v>
      </c>
      <c r="E55">
        <f t="shared" si="3"/>
        <v>9</v>
      </c>
      <c r="G55">
        <f t="shared" si="4"/>
        <v>0</v>
      </c>
      <c r="I55">
        <f t="shared" si="5"/>
        <v>0</v>
      </c>
      <c r="K55">
        <f t="shared" si="6"/>
        <v>11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0</v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3</v>
      </c>
      <c r="E56">
        <f t="shared" si="3"/>
        <v>7</v>
      </c>
      <c r="G56">
        <f t="shared" si="4"/>
        <v>0</v>
      </c>
      <c r="I56">
        <f t="shared" si="5"/>
        <v>0</v>
      </c>
      <c r="K56">
        <f t="shared" si="6"/>
        <v>10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1</v>
      </c>
      <c r="E57">
        <f t="shared" si="3"/>
        <v>0</v>
      </c>
      <c r="G57">
        <f t="shared" si="4"/>
        <v>4</v>
      </c>
      <c r="I57">
        <f t="shared" si="5"/>
        <v>2</v>
      </c>
      <c r="K57">
        <f t="shared" si="6"/>
        <v>4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3</v>
      </c>
      <c r="E58">
        <f t="shared" si="3"/>
        <v>6</v>
      </c>
      <c r="G58">
        <f t="shared" si="4"/>
        <v>0</v>
      </c>
      <c r="I58">
        <f t="shared" si="5"/>
        <v>0</v>
      </c>
      <c r="K58">
        <f t="shared" si="6"/>
        <v>8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>
        <f t="shared" si="17"/>
        <v>1</v>
      </c>
      <c r="AE58">
        <f t="shared" si="18"/>
        <v>1</v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0</v>
      </c>
      <c r="G59">
        <f t="shared" si="4"/>
        <v>3</v>
      </c>
      <c r="I59">
        <f t="shared" si="5"/>
        <v>2</v>
      </c>
      <c r="K59">
        <f t="shared" si="6"/>
        <v>2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0</v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5</v>
      </c>
      <c r="G60">
        <f t="shared" si="4"/>
        <v>0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2</v>
      </c>
      <c r="G62">
        <f t="shared" si="4"/>
        <v>0</v>
      </c>
      <c r="I62">
        <f t="shared" si="5"/>
        <v>0</v>
      </c>
      <c r="K62">
        <f t="shared" si="6"/>
        <v>2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1</v>
      </c>
      <c r="E63">
        <f t="shared" si="3"/>
        <v>2</v>
      </c>
      <c r="G63">
        <f t="shared" si="4"/>
        <v>0</v>
      </c>
      <c r="I63">
        <f t="shared" si="5"/>
        <v>0</v>
      </c>
      <c r="K63">
        <f t="shared" si="6"/>
        <v>1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8</v>
      </c>
      <c r="G64">
        <f t="shared" si="4"/>
        <v>0</v>
      </c>
      <c r="I64">
        <f t="shared" si="5"/>
        <v>0</v>
      </c>
      <c r="K64">
        <f t="shared" si="6"/>
        <v>8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9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1</v>
      </c>
      <c r="U66">
        <f>SUM(U54:U65)</f>
        <v>2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8</v>
      </c>
      <c r="G68">
        <f>AVERAGE(E68:E79)</f>
        <v>5.583333333333333</v>
      </c>
      <c r="I68">
        <f>IF(ISBLANK(B4)+ISBLANK(C4), "", L4)</f>
        <v>7</v>
      </c>
      <c r="K68">
        <f>IF(ISBLANK(B4)+ISBLANK(C4), "", M4)</f>
        <v>7</v>
      </c>
    </row>
    <row r="69" spans="1:31" x14ac:dyDescent="0.2">
      <c r="A69">
        <f t="shared" si="19"/>
        <v>0</v>
      </c>
      <c r="C69">
        <f t="shared" si="20"/>
        <v>0</v>
      </c>
      <c r="E69">
        <f t="shared" si="21"/>
        <v>11</v>
      </c>
      <c r="I69">
        <f t="shared" ref="I69:I79" si="22">IF(ISBLANK(B5)+ISBLANK(C5), "", L5)</f>
        <v>10</v>
      </c>
      <c r="K69">
        <f t="shared" ref="K69:K79" si="23">IF(ISBLANK(B5)+ISBLANK(C5), "", M5)</f>
        <v>9</v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10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1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9</v>
      </c>
      <c r="I72">
        <f t="shared" si="22"/>
        <v>6</v>
      </c>
      <c r="K72">
        <f t="shared" si="23"/>
        <v>6</v>
      </c>
    </row>
    <row r="73" spans="1:31" x14ac:dyDescent="0.2">
      <c r="A73">
        <f t="shared" si="19"/>
        <v>0</v>
      </c>
      <c r="C73">
        <f t="shared" si="20"/>
        <v>0</v>
      </c>
      <c r="E73">
        <f t="shared" si="21"/>
        <v>0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5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2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8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9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23</v>
      </c>
      <c r="K80">
        <f>SUM(K68:K79)</f>
        <v>22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C4">
        <v>1</v>
      </c>
      <c r="G4" t="s">
        <v>188</v>
      </c>
      <c r="H4">
        <v>1</v>
      </c>
      <c r="I4">
        <v>1</v>
      </c>
      <c r="J4">
        <v>3</v>
      </c>
      <c r="K4">
        <v>1</v>
      </c>
      <c r="N4">
        <v>3</v>
      </c>
      <c r="O4">
        <v>2</v>
      </c>
      <c r="P4">
        <v>1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16</v>
      </c>
      <c r="G5" t="s">
        <v>185</v>
      </c>
      <c r="H5">
        <v>1</v>
      </c>
      <c r="I5">
        <v>1</v>
      </c>
      <c r="J5">
        <v>4</v>
      </c>
      <c r="N5">
        <v>2</v>
      </c>
      <c r="O5">
        <v>1</v>
      </c>
      <c r="P5">
        <v>1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23</v>
      </c>
      <c r="G6" t="s">
        <v>188</v>
      </c>
      <c r="H6">
        <v>1</v>
      </c>
      <c r="I6">
        <v>1</v>
      </c>
      <c r="J6">
        <v>5</v>
      </c>
      <c r="K6">
        <v>1</v>
      </c>
      <c r="N6">
        <v>3</v>
      </c>
      <c r="O6">
        <v>3</v>
      </c>
      <c r="P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31</v>
      </c>
      <c r="C7">
        <v>1</v>
      </c>
      <c r="G7" t="s">
        <v>185</v>
      </c>
      <c r="H7">
        <v>1</v>
      </c>
      <c r="I7">
        <v>1</v>
      </c>
      <c r="J7">
        <v>6</v>
      </c>
      <c r="N7">
        <v>6</v>
      </c>
      <c r="U7">
        <v>1</v>
      </c>
      <c r="V7">
        <v>1</v>
      </c>
      <c r="W7" t="s">
        <v>186</v>
      </c>
    </row>
    <row r="8" spans="1:66" x14ac:dyDescent="0.2">
      <c r="A8">
        <v>5</v>
      </c>
      <c r="B8">
        <v>45</v>
      </c>
      <c r="C8">
        <v>1</v>
      </c>
      <c r="G8" t="s">
        <v>188</v>
      </c>
      <c r="H8">
        <v>1</v>
      </c>
      <c r="I8">
        <v>1</v>
      </c>
      <c r="J8">
        <v>5</v>
      </c>
      <c r="K8">
        <v>1</v>
      </c>
      <c r="N8">
        <v>3</v>
      </c>
      <c r="O8">
        <v>2</v>
      </c>
      <c r="P8">
        <v>1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60</v>
      </c>
      <c r="G9" t="s">
        <v>188</v>
      </c>
      <c r="H9">
        <v>1</v>
      </c>
      <c r="J9">
        <v>2</v>
      </c>
      <c r="K9">
        <v>2</v>
      </c>
      <c r="O9">
        <v>3</v>
      </c>
      <c r="P9">
        <v>3</v>
      </c>
      <c r="Q9">
        <v>1</v>
      </c>
      <c r="R9">
        <v>1</v>
      </c>
      <c r="U9">
        <v>1</v>
      </c>
      <c r="W9" t="s">
        <v>186</v>
      </c>
    </row>
    <row r="10" spans="1:66" x14ac:dyDescent="0.2">
      <c r="A10">
        <v>7</v>
      </c>
      <c r="B10">
        <v>67</v>
      </c>
      <c r="D10" t="s">
        <v>185</v>
      </c>
      <c r="E10">
        <v>1</v>
      </c>
      <c r="J10">
        <v>7</v>
      </c>
      <c r="K10">
        <v>1</v>
      </c>
      <c r="N10">
        <v>3</v>
      </c>
      <c r="O10">
        <v>4</v>
      </c>
      <c r="P10">
        <v>4</v>
      </c>
      <c r="S10">
        <v>1</v>
      </c>
      <c r="T10">
        <v>1</v>
      </c>
      <c r="U10">
        <v>1</v>
      </c>
      <c r="W10" t="s">
        <v>186</v>
      </c>
    </row>
    <row r="11" spans="1:66" x14ac:dyDescent="0.2">
      <c r="A11">
        <v>8</v>
      </c>
      <c r="B11">
        <v>75</v>
      </c>
      <c r="G11" t="s">
        <v>185</v>
      </c>
      <c r="H11">
        <v>1</v>
      </c>
      <c r="I11">
        <v>1</v>
      </c>
      <c r="J11">
        <v>5</v>
      </c>
      <c r="K11">
        <v>1</v>
      </c>
      <c r="N11">
        <v>4</v>
      </c>
      <c r="O11">
        <v>2</v>
      </c>
      <c r="P11">
        <v>2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98</v>
      </c>
      <c r="D12" t="s">
        <v>185</v>
      </c>
      <c r="E12">
        <v>1</v>
      </c>
      <c r="F12">
        <v>1</v>
      </c>
      <c r="J12">
        <v>1</v>
      </c>
      <c r="K12">
        <v>2</v>
      </c>
      <c r="O12">
        <v>3</v>
      </c>
      <c r="P12">
        <v>2</v>
      </c>
      <c r="S12">
        <v>1</v>
      </c>
      <c r="T12">
        <v>1</v>
      </c>
      <c r="U12">
        <v>1</v>
      </c>
      <c r="W12" t="s">
        <v>186</v>
      </c>
      <c r="X12">
        <v>1</v>
      </c>
    </row>
    <row r="13" spans="1:66" x14ac:dyDescent="0.2">
      <c r="A13">
        <v>10</v>
      </c>
      <c r="B13">
        <v>107</v>
      </c>
      <c r="G13" t="s">
        <v>188</v>
      </c>
      <c r="H13">
        <v>1</v>
      </c>
      <c r="I13">
        <v>1</v>
      </c>
      <c r="J13">
        <v>6</v>
      </c>
      <c r="N13">
        <v>6</v>
      </c>
      <c r="X13">
        <v>1</v>
      </c>
    </row>
    <row r="14" spans="1:66" x14ac:dyDescent="0.2">
      <c r="A14">
        <v>11</v>
      </c>
      <c r="B14">
        <v>116</v>
      </c>
      <c r="G14" t="s">
        <v>185</v>
      </c>
      <c r="H14">
        <v>1</v>
      </c>
      <c r="I14">
        <v>1</v>
      </c>
      <c r="J14">
        <v>4</v>
      </c>
      <c r="K14">
        <v>1</v>
      </c>
      <c r="O14">
        <v>5</v>
      </c>
      <c r="P14">
        <v>4</v>
      </c>
      <c r="S14">
        <v>1</v>
      </c>
      <c r="T14">
        <v>1</v>
      </c>
      <c r="U14">
        <v>1</v>
      </c>
      <c r="W14" t="s">
        <v>186</v>
      </c>
      <c r="X14">
        <v>1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3</v>
      </c>
      <c r="E16">
        <f>SUM(E4:E15)</f>
        <v>2</v>
      </c>
      <c r="F16">
        <f>SUM(F4:F15)</f>
        <v>1</v>
      </c>
      <c r="H16">
        <f t="shared" ref="H16:P16" si="0">SUM(H4:H15)</f>
        <v>9</v>
      </c>
      <c r="I16">
        <f t="shared" si="0"/>
        <v>8</v>
      </c>
      <c r="J16">
        <f t="shared" si="0"/>
        <v>48</v>
      </c>
      <c r="K16">
        <f t="shared" si="0"/>
        <v>10</v>
      </c>
      <c r="L16">
        <f t="shared" si="0"/>
        <v>0</v>
      </c>
      <c r="M16">
        <f t="shared" si="0"/>
        <v>0</v>
      </c>
      <c r="N16">
        <f t="shared" si="0"/>
        <v>30</v>
      </c>
      <c r="O16">
        <f t="shared" si="0"/>
        <v>25</v>
      </c>
      <c r="P16">
        <f t="shared" si="0"/>
        <v>21</v>
      </c>
      <c r="Q16">
        <f>SUM(Q4:Q15)</f>
        <v>1</v>
      </c>
      <c r="R16">
        <f>SUM(R4:R15)</f>
        <v>1</v>
      </c>
      <c r="S16">
        <f>SUM(S4:S15)</f>
        <v>5</v>
      </c>
      <c r="T16">
        <v>0</v>
      </c>
      <c r="U16">
        <f>SUM(U4:U15)</f>
        <v>8</v>
      </c>
      <c r="V16">
        <f>SUM(V4:V15)</f>
        <v>4</v>
      </c>
      <c r="W16">
        <f>SUM(W4:W15)</f>
        <v>0</v>
      </c>
      <c r="X16">
        <f>SUM(X4:X15)</f>
        <v>5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11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0.5</v>
      </c>
      <c r="F20">
        <f>COUNT(I4:I15)/COUNT(H4:H15)</f>
        <v>0.88888888888888884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0.84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0.5</v>
      </c>
      <c r="F22">
        <f>T66/S66</f>
        <v>1</v>
      </c>
      <c r="I22" t="s">
        <v>23</v>
      </c>
      <c r="N22">
        <f>AVERAGE(I54:I65)</f>
        <v>4.3636363636363633</v>
      </c>
      <c r="O22">
        <f>MEDIAN(I54:I65)</f>
        <v>5</v>
      </c>
      <c r="P22">
        <f>MAX(I54:I65)</f>
        <v>7</v>
      </c>
      <c r="Q22">
        <f>_xlfn.STDEV.S(I54:I65)</f>
        <v>1.8040358795061291</v>
      </c>
      <c r="S22">
        <f>V16/U16</f>
        <v>0.5</v>
      </c>
      <c r="U22">
        <f>AA66/Y66</f>
        <v>0.5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0.8</v>
      </c>
      <c r="I24">
        <f>AVERAGE(A54:A65)</f>
        <v>1.9090909090909092</v>
      </c>
      <c r="J24">
        <f>MAX(A54:A65)</f>
        <v>4</v>
      </c>
      <c r="K24">
        <f>_xlfn.STDEV.S(A54:A65)</f>
        <v>1.4459976109624424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0.36363636363636365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0.90909090909090906</v>
      </c>
      <c r="O25">
        <f>MEDIAN(K54:K65)</f>
        <v>1</v>
      </c>
      <c r="P25">
        <f>MAX(K54:K65)</f>
        <v>2</v>
      </c>
      <c r="Q25">
        <f>_xlfn.STDEV.S(K54:K65)</f>
        <v>0.70064904974537068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9.0909090909090912E-2</v>
      </c>
      <c r="F26">
        <f>I16/A19</f>
        <v>0.72727272727272729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0.82758620689655171</v>
      </c>
    </row>
    <row r="29" spans="1:66" x14ac:dyDescent="0.2">
      <c r="D29">
        <f>_xlfn.STDEV.S(A68:A79)</f>
        <v>0.33333333333333343</v>
      </c>
      <c r="I29">
        <f>AVERAGE(C54:C65)</f>
        <v>9.0909090909090912E-2</v>
      </c>
      <c r="J29">
        <f>MAX(C54:C65)</f>
        <v>1</v>
      </c>
      <c r="K29">
        <f>_xlfn.STDEV.S(C54:C65)</f>
        <v>0.30151134457776363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0.17241379310344829</v>
      </c>
      <c r="S30">
        <f>_xlfn.STDEV.S(C68:C79)</f>
        <v>0.50452497910951299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</v>
      </c>
      <c r="J34">
        <f>MAX(E54:E65)</f>
        <v>0</v>
      </c>
      <c r="K34">
        <f>_xlfn.STDEV.S(E54:E65)</f>
        <v>0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2.7272727272727271</v>
      </c>
      <c r="J37">
        <f>MAX(G54:G65)</f>
        <v>6</v>
      </c>
      <c r="K37">
        <f>_xlfn.STDEV.S(G54:G65)</f>
        <v>2.1489955370316194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3</v>
      </c>
      <c r="I54">
        <f t="shared" ref="I54:I65" si="5">IF(ISBLANK(B4),"",J4)</f>
        <v>3</v>
      </c>
      <c r="K54">
        <f t="shared" ref="K54:K65" si="6">IF(ISBLANK(B4),"",K4)</f>
        <v>1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>
        <f t="shared" ref="U54:U65" si="13">IF($G4="i", $H4, "")</f>
        <v>1</v>
      </c>
      <c r="V54">
        <f t="shared" ref="V54:V65" si="14">IF($G4="i", $I4, "")</f>
        <v>1</v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1</v>
      </c>
      <c r="C55">
        <f t="shared" si="2"/>
        <v>0</v>
      </c>
      <c r="E55">
        <f t="shared" si="3"/>
        <v>0</v>
      </c>
      <c r="G55">
        <f t="shared" si="4"/>
        <v>2</v>
      </c>
      <c r="I55">
        <f t="shared" si="5"/>
        <v>4</v>
      </c>
      <c r="K55">
        <f t="shared" si="6"/>
        <v>0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>
        <f t="shared" si="11"/>
        <v>1</v>
      </c>
      <c r="T55">
        <f t="shared" si="12"/>
        <v>1</v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0</v>
      </c>
      <c r="G56">
        <f t="shared" si="4"/>
        <v>3</v>
      </c>
      <c r="I56">
        <f t="shared" si="5"/>
        <v>5</v>
      </c>
      <c r="K56">
        <f t="shared" si="6"/>
        <v>1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6</v>
      </c>
      <c r="I57">
        <f t="shared" si="5"/>
        <v>6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1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1</v>
      </c>
      <c r="C58">
        <f t="shared" si="2"/>
        <v>0</v>
      </c>
      <c r="E58">
        <f t="shared" si="3"/>
        <v>0</v>
      </c>
      <c r="G58">
        <f t="shared" si="4"/>
        <v>3</v>
      </c>
      <c r="I58">
        <f t="shared" si="5"/>
        <v>5</v>
      </c>
      <c r="K58">
        <f t="shared" si="6"/>
        <v>1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3</v>
      </c>
      <c r="C59">
        <f t="shared" si="2"/>
        <v>1</v>
      </c>
      <c r="E59">
        <f t="shared" si="3"/>
        <v>0</v>
      </c>
      <c r="G59">
        <f t="shared" si="4"/>
        <v>0</v>
      </c>
      <c r="I59">
        <f t="shared" si="5"/>
        <v>2</v>
      </c>
      <c r="K59">
        <f t="shared" si="6"/>
        <v>2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0</v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4</v>
      </c>
      <c r="C60">
        <f t="shared" si="2"/>
        <v>0</v>
      </c>
      <c r="E60">
        <f t="shared" si="3"/>
        <v>0</v>
      </c>
      <c r="G60">
        <f t="shared" si="4"/>
        <v>3</v>
      </c>
      <c r="I60">
        <f t="shared" si="5"/>
        <v>7</v>
      </c>
      <c r="K60">
        <f t="shared" si="6"/>
        <v>1</v>
      </c>
      <c r="N60">
        <f t="shared" si="7"/>
        <v>1</v>
      </c>
      <c r="O60">
        <f t="shared" si="8"/>
        <v>0</v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0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2</v>
      </c>
      <c r="C61">
        <f t="shared" si="2"/>
        <v>0</v>
      </c>
      <c r="E61">
        <f t="shared" si="3"/>
        <v>0</v>
      </c>
      <c r="G61">
        <f t="shared" si="4"/>
        <v>4</v>
      </c>
      <c r="I61">
        <f t="shared" si="5"/>
        <v>5</v>
      </c>
      <c r="K61">
        <f t="shared" si="6"/>
        <v>1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0</v>
      </c>
      <c r="E62">
        <f t="shared" si="3"/>
        <v>0</v>
      </c>
      <c r="G62">
        <f t="shared" si="4"/>
        <v>0</v>
      </c>
      <c r="I62">
        <f t="shared" si="5"/>
        <v>1</v>
      </c>
      <c r="K62">
        <f t="shared" si="6"/>
        <v>2</v>
      </c>
      <c r="N62">
        <f t="shared" si="7"/>
        <v>1</v>
      </c>
      <c r="O62">
        <f t="shared" si="8"/>
        <v>1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0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0</v>
      </c>
      <c r="G63">
        <f t="shared" si="4"/>
        <v>6</v>
      </c>
      <c r="I63">
        <f t="shared" si="5"/>
        <v>6</v>
      </c>
      <c r="K63">
        <f t="shared" si="6"/>
        <v>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4</v>
      </c>
      <c r="K64">
        <f t="shared" si="6"/>
        <v>1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0</v>
      </c>
      <c r="AC64" t="str">
        <f t="shared" si="17"/>
        <v/>
      </c>
      <c r="AE64" t="str">
        <f t="shared" si="18"/>
        <v/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4</v>
      </c>
      <c r="T66">
        <f>SUM(T54:T65)</f>
        <v>4</v>
      </c>
      <c r="U66">
        <f>SUM(U54:U65)</f>
        <v>5</v>
      </c>
      <c r="V66">
        <f>SUM(V54:V65)</f>
        <v>4</v>
      </c>
      <c r="Y66">
        <f>SUM(Y54:Y65)</f>
        <v>8</v>
      </c>
      <c r="AA66">
        <f>SUM(AA54:AA65)</f>
        <v>4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2</v>
      </c>
      <c r="G68">
        <f>AVERAGE(E68:E79)</f>
        <v>2.8181818181818183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>
        <f t="shared" si="19"/>
        <v>1</v>
      </c>
      <c r="C69">
        <f t="shared" si="20"/>
        <v>0</v>
      </c>
      <c r="E69">
        <f t="shared" si="21"/>
        <v>2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4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1</v>
      </c>
      <c r="E71">
        <f t="shared" si="21"/>
        <v>1</v>
      </c>
      <c r="I71">
        <f t="shared" si="22"/>
        <v>0</v>
      </c>
      <c r="K71">
        <f t="shared" si="23"/>
        <v>0</v>
      </c>
    </row>
    <row r="72" spans="1:31" x14ac:dyDescent="0.2">
      <c r="A72">
        <f t="shared" si="19"/>
        <v>1</v>
      </c>
      <c r="C72">
        <f t="shared" si="20"/>
        <v>1</v>
      </c>
      <c r="E72">
        <f t="shared" si="21"/>
        <v>2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0</v>
      </c>
      <c r="C73">
        <f t="shared" si="20"/>
        <v>0</v>
      </c>
      <c r="E73">
        <f t="shared" si="21"/>
        <v>4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4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3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1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5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K4">
        <v>10</v>
      </c>
      <c r="L4">
        <v>3</v>
      </c>
      <c r="M4">
        <v>3</v>
      </c>
      <c r="O4">
        <v>1</v>
      </c>
      <c r="P4">
        <v>1</v>
      </c>
      <c r="Q4">
        <v>7</v>
      </c>
      <c r="R4">
        <v>5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13</v>
      </c>
      <c r="C5">
        <v>1</v>
      </c>
      <c r="G5" t="s">
        <v>188</v>
      </c>
      <c r="H5">
        <v>1</v>
      </c>
      <c r="I5">
        <v>1</v>
      </c>
      <c r="J5">
        <v>6</v>
      </c>
      <c r="K5">
        <v>1</v>
      </c>
      <c r="N5">
        <v>5</v>
      </c>
      <c r="Q5">
        <v>1</v>
      </c>
      <c r="R5">
        <v>1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26</v>
      </c>
      <c r="G6" t="s">
        <v>188</v>
      </c>
      <c r="H6">
        <v>1</v>
      </c>
      <c r="I6">
        <v>1</v>
      </c>
      <c r="J6">
        <v>2</v>
      </c>
      <c r="K6">
        <v>4</v>
      </c>
      <c r="N6">
        <v>2</v>
      </c>
      <c r="O6">
        <v>2</v>
      </c>
      <c r="P6">
        <v>2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35</v>
      </c>
      <c r="K7">
        <v>5</v>
      </c>
      <c r="O7">
        <v>6</v>
      </c>
      <c r="P7">
        <v>5</v>
      </c>
      <c r="U7">
        <v>1</v>
      </c>
      <c r="V7">
        <v>1</v>
      </c>
      <c r="W7" t="s">
        <v>189</v>
      </c>
    </row>
    <row r="8" spans="1:66" x14ac:dyDescent="0.2">
      <c r="A8">
        <v>5</v>
      </c>
      <c r="B8">
        <v>41</v>
      </c>
      <c r="G8" t="s">
        <v>188</v>
      </c>
      <c r="H8">
        <v>1</v>
      </c>
      <c r="I8">
        <v>1</v>
      </c>
      <c r="J8">
        <v>2</v>
      </c>
      <c r="K8">
        <v>6</v>
      </c>
      <c r="N8">
        <v>3</v>
      </c>
      <c r="O8">
        <v>3</v>
      </c>
      <c r="P8">
        <v>2</v>
      </c>
      <c r="X8">
        <v>1</v>
      </c>
    </row>
    <row r="9" spans="1:66" x14ac:dyDescent="0.2">
      <c r="A9">
        <v>6</v>
      </c>
      <c r="B9">
        <v>58</v>
      </c>
      <c r="C9">
        <v>1</v>
      </c>
      <c r="G9" t="s">
        <v>188</v>
      </c>
      <c r="H9">
        <v>1</v>
      </c>
      <c r="I9">
        <v>1</v>
      </c>
      <c r="J9">
        <v>1</v>
      </c>
      <c r="K9">
        <v>5</v>
      </c>
      <c r="O9">
        <v>5</v>
      </c>
      <c r="P9">
        <v>5</v>
      </c>
      <c r="Q9">
        <v>1</v>
      </c>
      <c r="R9">
        <v>1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70</v>
      </c>
      <c r="K10">
        <v>7</v>
      </c>
      <c r="L10">
        <v>7</v>
      </c>
      <c r="M10">
        <v>7</v>
      </c>
      <c r="Q10">
        <v>1</v>
      </c>
      <c r="R10">
        <v>1</v>
      </c>
      <c r="U10">
        <v>1</v>
      </c>
      <c r="V10">
        <v>1</v>
      </c>
      <c r="W10" t="s">
        <v>186</v>
      </c>
    </row>
    <row r="11" spans="1:66" x14ac:dyDescent="0.2">
      <c r="A11">
        <v>8</v>
      </c>
      <c r="B11">
        <v>75</v>
      </c>
      <c r="G11" t="s">
        <v>185</v>
      </c>
      <c r="H11">
        <v>1</v>
      </c>
      <c r="K11">
        <v>6</v>
      </c>
      <c r="O11">
        <v>6</v>
      </c>
      <c r="P11">
        <v>6</v>
      </c>
      <c r="S11">
        <v>1</v>
      </c>
      <c r="X11">
        <v>1</v>
      </c>
    </row>
    <row r="12" spans="1:66" x14ac:dyDescent="0.2">
      <c r="A12">
        <v>9</v>
      </c>
      <c r="B12">
        <v>85</v>
      </c>
      <c r="G12" t="s">
        <v>188</v>
      </c>
      <c r="H12">
        <v>1</v>
      </c>
      <c r="I12">
        <v>1</v>
      </c>
      <c r="J12">
        <v>2</v>
      </c>
      <c r="K12">
        <v>5</v>
      </c>
      <c r="N12">
        <v>5</v>
      </c>
      <c r="O12">
        <v>2</v>
      </c>
      <c r="P12">
        <v>2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95</v>
      </c>
      <c r="D13" t="s">
        <v>185</v>
      </c>
      <c r="E13">
        <v>1</v>
      </c>
      <c r="F13">
        <v>1</v>
      </c>
      <c r="K13">
        <v>5</v>
      </c>
      <c r="O13">
        <v>5</v>
      </c>
      <c r="P13">
        <v>4</v>
      </c>
      <c r="X13">
        <v>1</v>
      </c>
    </row>
    <row r="14" spans="1:66" x14ac:dyDescent="0.2">
      <c r="A14">
        <v>11</v>
      </c>
      <c r="B14">
        <v>110</v>
      </c>
      <c r="C14">
        <v>1</v>
      </c>
      <c r="G14" t="s">
        <v>188</v>
      </c>
      <c r="H14">
        <v>1</v>
      </c>
      <c r="I14">
        <v>1</v>
      </c>
      <c r="J14">
        <v>1</v>
      </c>
      <c r="K14">
        <v>4</v>
      </c>
      <c r="O14">
        <v>5</v>
      </c>
      <c r="P14">
        <v>4</v>
      </c>
      <c r="U14">
        <v>1</v>
      </c>
      <c r="V14">
        <v>1</v>
      </c>
      <c r="W14" t="s">
        <v>186</v>
      </c>
    </row>
    <row r="15" spans="1:66" x14ac:dyDescent="0.2">
      <c r="A15">
        <v>12</v>
      </c>
      <c r="B15">
        <v>119</v>
      </c>
      <c r="C15">
        <v>1</v>
      </c>
      <c r="D15" t="s">
        <v>185</v>
      </c>
      <c r="E15">
        <v>1</v>
      </c>
      <c r="F15">
        <v>1</v>
      </c>
      <c r="K15">
        <v>6</v>
      </c>
      <c r="L15">
        <v>6</v>
      </c>
      <c r="M15">
        <v>6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4</v>
      </c>
      <c r="E16">
        <f>SUM(E4:E15)</f>
        <v>2</v>
      </c>
      <c r="F16">
        <f>SUM(F4:F15)</f>
        <v>2</v>
      </c>
      <c r="H16">
        <f t="shared" ref="H16:P16" si="0">SUM(H4:H15)</f>
        <v>7</v>
      </c>
      <c r="I16">
        <f t="shared" si="0"/>
        <v>6</v>
      </c>
      <c r="J16">
        <f t="shared" si="0"/>
        <v>14</v>
      </c>
      <c r="K16">
        <f t="shared" si="0"/>
        <v>64</v>
      </c>
      <c r="L16">
        <f t="shared" si="0"/>
        <v>16</v>
      </c>
      <c r="M16">
        <f t="shared" si="0"/>
        <v>16</v>
      </c>
      <c r="N16">
        <f t="shared" si="0"/>
        <v>15</v>
      </c>
      <c r="O16">
        <f t="shared" si="0"/>
        <v>35</v>
      </c>
      <c r="P16">
        <f t="shared" si="0"/>
        <v>31</v>
      </c>
      <c r="Q16">
        <f>SUM(Q4:Q15)</f>
        <v>10</v>
      </c>
      <c r="R16">
        <f>SUM(R4:R15)</f>
        <v>8</v>
      </c>
      <c r="S16">
        <f>SUM(S4:S15)</f>
        <v>1</v>
      </c>
      <c r="T16">
        <v>0</v>
      </c>
      <c r="U16">
        <f>SUM(U4:U15)</f>
        <v>9</v>
      </c>
      <c r="V16">
        <f>SUM(V4:V15)</f>
        <v>9</v>
      </c>
      <c r="W16">
        <f>SUM(W4:W15)</f>
        <v>0</v>
      </c>
      <c r="X16">
        <f>SUM(X4:X15)</f>
        <v>3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1</v>
      </c>
      <c r="F20">
        <f>COUNT(I4:I15)/COUNT(H4:H15)</f>
        <v>0.8571428571428571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0.88571428571428568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1</v>
      </c>
      <c r="F22">
        <f>T66/S66</f>
        <v>0</v>
      </c>
      <c r="I22" t="s">
        <v>23</v>
      </c>
      <c r="N22">
        <f>AVERAGE(I54:I65)</f>
        <v>1.1666666666666667</v>
      </c>
      <c r="O22">
        <f>MEDIAN(I54:I65)</f>
        <v>0.5</v>
      </c>
      <c r="P22">
        <f>MAX(I54:I65)</f>
        <v>6</v>
      </c>
      <c r="Q22">
        <f>_xlfn.STDEV.S(I54:I65)</f>
        <v>1.7494587907710375</v>
      </c>
      <c r="S22">
        <f>V16/U16</f>
        <v>1</v>
      </c>
      <c r="U22">
        <f>AA66/Y66</f>
        <v>1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2.5833333333333335</v>
      </c>
      <c r="J24">
        <f>MAX(A54:A65)</f>
        <v>6</v>
      </c>
      <c r="K24">
        <f>_xlfn.STDEV.S(A54:A65)</f>
        <v>2.151461800448216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0.75</v>
      </c>
      <c r="U24">
        <f>AE66/AC66</f>
        <v>1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5.333333333333333</v>
      </c>
      <c r="O25">
        <f>MEDIAN(K54:K65)</f>
        <v>5</v>
      </c>
      <c r="P25">
        <f>MAX(K54:K65)</f>
        <v>10</v>
      </c>
      <c r="Q25">
        <f>_xlfn.STDEV.S(K54:K65)</f>
        <v>2.1033883198882761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0.5</v>
      </c>
      <c r="I26">
        <f>R16/Q16</f>
        <v>0.8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0.17948717948717949</v>
      </c>
    </row>
    <row r="29" spans="1:66" x14ac:dyDescent="0.2">
      <c r="D29">
        <f>_xlfn.STDEV.S(A68:A79)</f>
        <v>0.37796447300922714</v>
      </c>
      <c r="I29">
        <f>AVERAGE(C54:C65)</f>
        <v>0.66666666666666663</v>
      </c>
      <c r="J29">
        <f>MAX(C54:C65)</f>
        <v>5</v>
      </c>
      <c r="K29">
        <f>_xlfn.STDEV.S(C54:C65)</f>
        <v>1.4354811251305468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0.82051282051282048</v>
      </c>
      <c r="S30">
        <f>_xlfn.STDEV.S(C68:C79)</f>
        <v>0.45226701686664544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1.3333333333333333</v>
      </c>
      <c r="J34">
        <f>MAX(E54:E65)</f>
        <v>7</v>
      </c>
      <c r="K34">
        <f>_xlfn.STDEV.S(E54:E65)</f>
        <v>2.5702257889260638</v>
      </c>
      <c r="L34">
        <f>AVERAGE(K68:K79)</f>
        <v>1.5</v>
      </c>
      <c r="M34">
        <f>MAX(K68:K79)</f>
        <v>6</v>
      </c>
      <c r="N34">
        <f>_xlfn.STDEV.S(K68:K79)</f>
        <v>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1.25</v>
      </c>
      <c r="J37">
        <f>MAX(G54:G65)</f>
        <v>5</v>
      </c>
      <c r="K37">
        <f>_xlfn.STDEV.S(G54:G65)</f>
        <v>2.0056737702645644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1</v>
      </c>
      <c r="C54">
        <f t="shared" ref="C54:C65" si="2">IF(ISBLANK(B4),"",R4)</f>
        <v>5</v>
      </c>
      <c r="E54">
        <f t="shared" ref="E54:E65" si="3">IF(ISBLANK(B4),"",M4)</f>
        <v>3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10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1</v>
      </c>
      <c r="E55">
        <f t="shared" si="3"/>
        <v>0</v>
      </c>
      <c r="G55">
        <f t="shared" si="4"/>
        <v>5</v>
      </c>
      <c r="I55">
        <f t="shared" si="5"/>
        <v>6</v>
      </c>
      <c r="K55">
        <f t="shared" si="6"/>
        <v>1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>
        <f t="shared" si="13"/>
        <v>1</v>
      </c>
      <c r="V55">
        <f t="shared" si="14"/>
        <v>1</v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2</v>
      </c>
      <c r="C56">
        <f t="shared" si="2"/>
        <v>0</v>
      </c>
      <c r="E56">
        <f t="shared" si="3"/>
        <v>0</v>
      </c>
      <c r="G56">
        <f t="shared" si="4"/>
        <v>2</v>
      </c>
      <c r="I56">
        <f t="shared" si="5"/>
        <v>2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5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5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>
        <f t="shared" si="17"/>
        <v>1</v>
      </c>
      <c r="AE57">
        <f t="shared" si="18"/>
        <v>1</v>
      </c>
    </row>
    <row r="58" spans="1:44" x14ac:dyDescent="0.2">
      <c r="A58">
        <f t="shared" si="1"/>
        <v>2</v>
      </c>
      <c r="C58">
        <f t="shared" si="2"/>
        <v>0</v>
      </c>
      <c r="E58">
        <f t="shared" si="3"/>
        <v>0</v>
      </c>
      <c r="G58">
        <f t="shared" si="4"/>
        <v>3</v>
      </c>
      <c r="I58">
        <f t="shared" si="5"/>
        <v>2</v>
      </c>
      <c r="K58">
        <f t="shared" si="6"/>
        <v>6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5</v>
      </c>
      <c r="C59">
        <f t="shared" si="2"/>
        <v>1</v>
      </c>
      <c r="E59">
        <f t="shared" si="3"/>
        <v>0</v>
      </c>
      <c r="G59">
        <f t="shared" si="4"/>
        <v>0</v>
      </c>
      <c r="I59">
        <f t="shared" si="5"/>
        <v>1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>
        <f t="shared" si="13"/>
        <v>1</v>
      </c>
      <c r="V59">
        <f t="shared" si="14"/>
        <v>1</v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1</v>
      </c>
      <c r="E60">
        <f t="shared" si="3"/>
        <v>7</v>
      </c>
      <c r="G60">
        <f t="shared" si="4"/>
        <v>0</v>
      </c>
      <c r="I60">
        <f t="shared" si="5"/>
        <v>0</v>
      </c>
      <c r="K60">
        <f t="shared" si="6"/>
        <v>7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>
        <f t="shared" si="15"/>
        <v>1</v>
      </c>
      <c r="AA60">
        <f t="shared" si="16"/>
        <v>1</v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6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6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0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2</v>
      </c>
      <c r="C62">
        <f t="shared" si="2"/>
        <v>0</v>
      </c>
      <c r="E62">
        <f t="shared" si="3"/>
        <v>0</v>
      </c>
      <c r="G62">
        <f t="shared" si="4"/>
        <v>5</v>
      </c>
      <c r="I62">
        <f t="shared" si="5"/>
        <v>2</v>
      </c>
      <c r="K62">
        <f t="shared" si="6"/>
        <v>5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>
        <f t="shared" si="13"/>
        <v>1</v>
      </c>
      <c r="V62">
        <f t="shared" si="14"/>
        <v>1</v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4</v>
      </c>
      <c r="C63">
        <f t="shared" si="2"/>
        <v>0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5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4</v>
      </c>
      <c r="C64">
        <f t="shared" si="2"/>
        <v>0</v>
      </c>
      <c r="E64">
        <f t="shared" si="3"/>
        <v>0</v>
      </c>
      <c r="G64">
        <f t="shared" si="4"/>
        <v>0</v>
      </c>
      <c r="I64">
        <f t="shared" si="5"/>
        <v>1</v>
      </c>
      <c r="K64">
        <f t="shared" si="6"/>
        <v>4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6</v>
      </c>
      <c r="G65">
        <f t="shared" si="4"/>
        <v>0</v>
      </c>
      <c r="I65">
        <f t="shared" si="5"/>
        <v>0</v>
      </c>
      <c r="K65">
        <f t="shared" si="6"/>
        <v>6</v>
      </c>
      <c r="N65">
        <f t="shared" si="7"/>
        <v>1</v>
      </c>
      <c r="O65">
        <f t="shared" si="8"/>
        <v>1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2</v>
      </c>
      <c r="O66">
        <f>SUM(O54:O65)</f>
        <v>2</v>
      </c>
      <c r="P66">
        <f>SUM(P54:P65)</f>
        <v>0</v>
      </c>
      <c r="Q66">
        <f>SUM(Q54:Q65)</f>
        <v>0</v>
      </c>
      <c r="S66">
        <f>SUM(S54:S65)</f>
        <v>1</v>
      </c>
      <c r="T66">
        <f>SUM(T54:T65)</f>
        <v>0</v>
      </c>
      <c r="U66">
        <f>SUM(U54:U65)</f>
        <v>6</v>
      </c>
      <c r="V66">
        <f>SUM(V54:V65)</f>
        <v>6</v>
      </c>
      <c r="Y66">
        <f>SUM(Y54:Y65)</f>
        <v>8</v>
      </c>
      <c r="AA66">
        <f>SUM(AA54:AA65)</f>
        <v>8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9</v>
      </c>
      <c r="G68">
        <f>AVERAGE(E68:E79)</f>
        <v>5.25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>
        <f t="shared" si="19"/>
        <v>1</v>
      </c>
      <c r="C69">
        <f t="shared" si="20"/>
        <v>1</v>
      </c>
      <c r="E69">
        <f t="shared" si="21"/>
        <v>2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1</v>
      </c>
      <c r="C70">
        <f t="shared" si="20"/>
        <v>1</v>
      </c>
      <c r="E70">
        <f t="shared" si="21"/>
        <v>3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1</v>
      </c>
      <c r="E71">
        <f t="shared" si="21"/>
        <v>5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3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1</v>
      </c>
      <c r="E73">
        <f t="shared" si="21"/>
        <v>7</v>
      </c>
      <c r="I73">
        <f t="shared" si="22"/>
        <v>0</v>
      </c>
      <c r="K73">
        <f t="shared" si="23"/>
        <v>0</v>
      </c>
    </row>
    <row r="74" spans="1:31" x14ac:dyDescent="0.2">
      <c r="A74" t="str">
        <f t="shared" si="19"/>
        <v/>
      </c>
      <c r="C74">
        <f t="shared" si="20"/>
        <v>1</v>
      </c>
      <c r="E74">
        <f t="shared" si="21"/>
        <v>8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0</v>
      </c>
      <c r="C75">
        <f t="shared" si="20"/>
        <v>0</v>
      </c>
      <c r="E75">
        <f t="shared" si="21"/>
        <v>6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1</v>
      </c>
      <c r="E76">
        <f t="shared" si="21"/>
        <v>3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1</v>
      </c>
      <c r="E78">
        <f t="shared" si="21"/>
        <v>5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>
        <f t="shared" si="20"/>
        <v>1</v>
      </c>
      <c r="E79">
        <f t="shared" si="21"/>
        <v>7</v>
      </c>
      <c r="I79">
        <f t="shared" si="22"/>
        <v>6</v>
      </c>
      <c r="K79">
        <f t="shared" si="23"/>
        <v>6</v>
      </c>
    </row>
    <row r="80" spans="1:31" x14ac:dyDescent="0.2">
      <c r="H80" t="s">
        <v>168</v>
      </c>
      <c r="I80">
        <f>SUM(I68:I79)</f>
        <v>6</v>
      </c>
      <c r="K80">
        <f>SUM(K68:K79)</f>
        <v>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BN94"/>
  <sheetViews>
    <sheetView workbookViewId="0">
      <selection activeCell="B9" sqref="B9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4</v>
      </c>
      <c r="G4" t="s">
        <v>185</v>
      </c>
      <c r="H4">
        <v>1</v>
      </c>
      <c r="I4">
        <v>1</v>
      </c>
      <c r="J4">
        <v>1</v>
      </c>
      <c r="K4">
        <v>2</v>
      </c>
      <c r="O4">
        <v>4</v>
      </c>
      <c r="P4">
        <v>3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18</v>
      </c>
      <c r="K5">
        <v>4</v>
      </c>
      <c r="O5">
        <v>5</v>
      </c>
      <c r="P5">
        <v>4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23</v>
      </c>
      <c r="C6">
        <v>1</v>
      </c>
      <c r="G6" t="s">
        <v>185</v>
      </c>
      <c r="H6">
        <v>1</v>
      </c>
      <c r="I6">
        <v>1</v>
      </c>
      <c r="K6">
        <v>4</v>
      </c>
      <c r="O6">
        <v>4</v>
      </c>
      <c r="P6">
        <v>4</v>
      </c>
      <c r="U6">
        <v>1</v>
      </c>
      <c r="W6" t="s">
        <v>186</v>
      </c>
      <c r="X6">
        <v>1</v>
      </c>
    </row>
    <row r="7" spans="1:66" x14ac:dyDescent="0.2">
      <c r="A7">
        <v>4</v>
      </c>
      <c r="B7">
        <v>32</v>
      </c>
      <c r="C7">
        <v>1</v>
      </c>
      <c r="O7">
        <v>1</v>
      </c>
      <c r="P7">
        <v>1</v>
      </c>
      <c r="X7">
        <v>1</v>
      </c>
    </row>
    <row r="8" spans="1:66" x14ac:dyDescent="0.2">
      <c r="A8">
        <v>5</v>
      </c>
      <c r="B8">
        <v>41</v>
      </c>
      <c r="K8">
        <v>9</v>
      </c>
      <c r="L8">
        <v>6</v>
      </c>
      <c r="M8">
        <v>6</v>
      </c>
      <c r="O8">
        <v>1</v>
      </c>
      <c r="P8">
        <v>1</v>
      </c>
      <c r="Q8">
        <v>3</v>
      </c>
      <c r="R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57</v>
      </c>
      <c r="C9">
        <v>1</v>
      </c>
      <c r="G9" t="s">
        <v>185</v>
      </c>
      <c r="H9">
        <v>1</v>
      </c>
      <c r="I9">
        <v>1</v>
      </c>
      <c r="K9">
        <v>4</v>
      </c>
      <c r="O9">
        <v>4</v>
      </c>
      <c r="P9">
        <v>4</v>
      </c>
      <c r="U9">
        <v>1</v>
      </c>
      <c r="W9" t="s">
        <v>186</v>
      </c>
      <c r="X9">
        <v>1</v>
      </c>
    </row>
    <row r="10" spans="1:66" x14ac:dyDescent="0.2">
      <c r="A10">
        <v>7</v>
      </c>
      <c r="B10">
        <v>63</v>
      </c>
      <c r="G10" t="s">
        <v>185</v>
      </c>
      <c r="H10">
        <v>1</v>
      </c>
      <c r="I10">
        <v>1</v>
      </c>
      <c r="K10">
        <v>3</v>
      </c>
      <c r="N10">
        <v>2</v>
      </c>
      <c r="O10">
        <v>1</v>
      </c>
      <c r="P10">
        <v>1</v>
      </c>
      <c r="S10">
        <v>1</v>
      </c>
      <c r="T10">
        <v>1</v>
      </c>
      <c r="U10">
        <v>1</v>
      </c>
      <c r="W10" t="s">
        <v>189</v>
      </c>
      <c r="X10">
        <v>1</v>
      </c>
    </row>
    <row r="11" spans="1:66" x14ac:dyDescent="0.2">
      <c r="A11">
        <v>8</v>
      </c>
      <c r="B11">
        <v>72</v>
      </c>
      <c r="G11" t="s">
        <v>185</v>
      </c>
      <c r="H11">
        <v>1</v>
      </c>
      <c r="I11">
        <v>1</v>
      </c>
      <c r="K11">
        <v>4</v>
      </c>
      <c r="O11">
        <v>4</v>
      </c>
      <c r="P11">
        <v>4</v>
      </c>
      <c r="U11">
        <v>1</v>
      </c>
      <c r="V11">
        <v>1</v>
      </c>
      <c r="W11" t="s">
        <v>186</v>
      </c>
    </row>
    <row r="12" spans="1:66" x14ac:dyDescent="0.2">
      <c r="A12">
        <v>9</v>
      </c>
      <c r="B12">
        <v>88</v>
      </c>
      <c r="G12" t="s">
        <v>185</v>
      </c>
      <c r="H12">
        <v>1</v>
      </c>
      <c r="I12">
        <v>1</v>
      </c>
      <c r="K12">
        <v>6</v>
      </c>
      <c r="L12">
        <v>2</v>
      </c>
      <c r="M12">
        <v>2</v>
      </c>
      <c r="O12">
        <v>3</v>
      </c>
      <c r="P12">
        <v>3</v>
      </c>
      <c r="U12">
        <v>1</v>
      </c>
      <c r="W12" t="s">
        <v>186</v>
      </c>
      <c r="X12">
        <v>1</v>
      </c>
    </row>
    <row r="13" spans="1:66" x14ac:dyDescent="0.2">
      <c r="A13">
        <v>10</v>
      </c>
      <c r="B13">
        <v>93</v>
      </c>
      <c r="G13" t="s">
        <v>188</v>
      </c>
      <c r="H13">
        <v>1</v>
      </c>
      <c r="I13">
        <v>1</v>
      </c>
      <c r="K13">
        <v>5</v>
      </c>
      <c r="N13">
        <v>1</v>
      </c>
      <c r="O13">
        <v>3</v>
      </c>
      <c r="P13">
        <v>3</v>
      </c>
      <c r="Q13">
        <v>1</v>
      </c>
      <c r="R13">
        <v>1</v>
      </c>
      <c r="U13">
        <v>1</v>
      </c>
      <c r="V13">
        <v>1</v>
      </c>
      <c r="W13" t="s">
        <v>186</v>
      </c>
    </row>
    <row r="14" spans="1:66" x14ac:dyDescent="0.2">
      <c r="A14">
        <v>11</v>
      </c>
      <c r="B14">
        <v>101</v>
      </c>
      <c r="G14" t="s">
        <v>185</v>
      </c>
      <c r="H14">
        <v>1</v>
      </c>
      <c r="I14">
        <v>1</v>
      </c>
      <c r="K14">
        <v>6</v>
      </c>
      <c r="L14">
        <v>6</v>
      </c>
      <c r="M14">
        <v>6</v>
      </c>
      <c r="S14">
        <v>1</v>
      </c>
      <c r="T14">
        <v>1</v>
      </c>
      <c r="X14">
        <v>1</v>
      </c>
    </row>
    <row r="15" spans="1:66" x14ac:dyDescent="0.2">
      <c r="A15">
        <v>12</v>
      </c>
      <c r="B15">
        <v>111</v>
      </c>
      <c r="G15" t="s">
        <v>185</v>
      </c>
      <c r="H15">
        <v>1</v>
      </c>
      <c r="I15">
        <v>1</v>
      </c>
      <c r="K15">
        <v>2</v>
      </c>
      <c r="O15">
        <v>3</v>
      </c>
      <c r="P15">
        <v>2</v>
      </c>
      <c r="U15">
        <v>1</v>
      </c>
      <c r="V15">
        <v>1</v>
      </c>
      <c r="W15" t="s">
        <v>186</v>
      </c>
    </row>
    <row r="16" spans="1:66" x14ac:dyDescent="0.2">
      <c r="A16" t="s">
        <v>8</v>
      </c>
      <c r="C16">
        <f>SUM(C4:C15)</f>
        <v>3</v>
      </c>
      <c r="E16">
        <f>SUM(E4:E15)</f>
        <v>0</v>
      </c>
      <c r="F16">
        <f>SUM(F4:F15)</f>
        <v>0</v>
      </c>
      <c r="H16">
        <f t="shared" ref="H16:P16" si="0">SUM(H4:H15)</f>
        <v>9</v>
      </c>
      <c r="I16">
        <f t="shared" si="0"/>
        <v>9</v>
      </c>
      <c r="J16">
        <f t="shared" si="0"/>
        <v>1</v>
      </c>
      <c r="K16">
        <f t="shared" si="0"/>
        <v>49</v>
      </c>
      <c r="L16">
        <f t="shared" si="0"/>
        <v>14</v>
      </c>
      <c r="M16">
        <f t="shared" si="0"/>
        <v>14</v>
      </c>
      <c r="N16">
        <f t="shared" si="0"/>
        <v>3</v>
      </c>
      <c r="O16">
        <f t="shared" si="0"/>
        <v>33</v>
      </c>
      <c r="P16">
        <f t="shared" si="0"/>
        <v>30</v>
      </c>
      <c r="Q16">
        <f>SUM(Q4:Q15)</f>
        <v>4</v>
      </c>
      <c r="R16">
        <f>SUM(R4:R15)</f>
        <v>4</v>
      </c>
      <c r="S16">
        <f>SUM(S4:S15)</f>
        <v>2</v>
      </c>
      <c r="T16">
        <v>0</v>
      </c>
      <c r="U16">
        <f>SUM(U4:U15)</f>
        <v>10</v>
      </c>
      <c r="V16">
        <f>SUM(V4:V15)</f>
        <v>6</v>
      </c>
      <c r="W16">
        <f>SUM(W4:W15)</f>
        <v>0</v>
      </c>
      <c r="X16">
        <f>SUM(X4:X15)</f>
        <v>6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0.90909090909090906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8.3333333333333329E-2</v>
      </c>
      <c r="O22">
        <f>MEDIAN(I54:I65)</f>
        <v>0</v>
      </c>
      <c r="P22">
        <f>MAX(I54:I65)</f>
        <v>1</v>
      </c>
      <c r="Q22">
        <f>_xlfn.STDEV.S(I54:I65)</f>
        <v>0.28867513459481287</v>
      </c>
      <c r="S22">
        <f>V16/U16</f>
        <v>0.6</v>
      </c>
      <c r="U22">
        <f>AA66/Y66</f>
        <v>0.66666666666666663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2.5</v>
      </c>
      <c r="J24">
        <f>MAX(A54:A65)</f>
        <v>4</v>
      </c>
      <c r="K24">
        <f>_xlfn.STDEV.S(A54:A65)</f>
        <v>1.4459976109624424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0.5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4.083333333333333</v>
      </c>
      <c r="O25">
        <f>MEDIAN(K54:K65)</f>
        <v>4</v>
      </c>
      <c r="P25">
        <f>MAX(K54:K65)</f>
        <v>9</v>
      </c>
      <c r="Q25">
        <f>_xlfn.STDEV.S(K54:K65)</f>
        <v>2.3143164446679725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0.75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0.02</v>
      </c>
    </row>
    <row r="29" spans="1:66" x14ac:dyDescent="0.2">
      <c r="D29">
        <f>_xlfn.STDEV.S(A68:A79)</f>
        <v>0</v>
      </c>
      <c r="I29">
        <f>AVERAGE(C54:C65)</f>
        <v>0.33333333333333331</v>
      </c>
      <c r="J29">
        <f>MAX(C54:C65)</f>
        <v>3</v>
      </c>
      <c r="K29">
        <f>_xlfn.STDEV.S(C54:C65)</f>
        <v>0.88762536459859454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0.98</v>
      </c>
      <c r="S30">
        <f>_xlfn.STDEV.S(C68:C79)</f>
        <v>0.5222329678670935</v>
      </c>
    </row>
    <row r="31" spans="1:66" x14ac:dyDescent="0.2">
      <c r="D31" t="s">
        <v>179</v>
      </c>
      <c r="F31" t="s">
        <v>180</v>
      </c>
      <c r="I31">
        <f>M16/L16</f>
        <v>1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1.1666666666666667</v>
      </c>
      <c r="J34">
        <f>MAX(E54:E65)</f>
        <v>6</v>
      </c>
      <c r="K34">
        <f>_xlfn.STDEV.S(E54:E65)</f>
        <v>2.3290003057626301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0.25</v>
      </c>
      <c r="J37">
        <f>MAX(G54:G65)</f>
        <v>2</v>
      </c>
      <c r="K37">
        <f>_xlfn.STDEV.S(G54:G65)</f>
        <v>0.62158156050806102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3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1</v>
      </c>
      <c r="K54">
        <f t="shared" ref="K54:K65" si="6">IF(ISBLANK(B4),"",K4)</f>
        <v>2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0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4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4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1</v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0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1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1</v>
      </c>
      <c r="C58">
        <f t="shared" si="2"/>
        <v>3</v>
      </c>
      <c r="E58">
        <f t="shared" si="3"/>
        <v>6</v>
      </c>
      <c r="G58">
        <f t="shared" si="4"/>
        <v>0</v>
      </c>
      <c r="I58">
        <f t="shared" si="5"/>
        <v>0</v>
      </c>
      <c r="K58">
        <f t="shared" si="6"/>
        <v>9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4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1</v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0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0</v>
      </c>
      <c r="E60">
        <f t="shared" si="3"/>
        <v>0</v>
      </c>
      <c r="G60">
        <f t="shared" si="4"/>
        <v>2</v>
      </c>
      <c r="I60">
        <f t="shared" si="5"/>
        <v>0</v>
      </c>
      <c r="K60">
        <f t="shared" si="6"/>
        <v>3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>
        <f t="shared" si="11"/>
        <v>1</v>
      </c>
      <c r="T60">
        <f t="shared" si="12"/>
        <v>1</v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>
        <f t="shared" si="17"/>
        <v>1</v>
      </c>
      <c r="AE60">
        <f t="shared" si="18"/>
        <v>0</v>
      </c>
    </row>
    <row r="61" spans="1:44" x14ac:dyDescent="0.2">
      <c r="A61">
        <f t="shared" si="1"/>
        <v>4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0</v>
      </c>
      <c r="K61">
        <f t="shared" si="6"/>
        <v>4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1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3</v>
      </c>
      <c r="C62">
        <f t="shared" si="2"/>
        <v>0</v>
      </c>
      <c r="E62">
        <f t="shared" si="3"/>
        <v>2</v>
      </c>
      <c r="G62">
        <f t="shared" si="4"/>
        <v>0</v>
      </c>
      <c r="I62">
        <f t="shared" si="5"/>
        <v>0</v>
      </c>
      <c r="K62">
        <f t="shared" si="6"/>
        <v>6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0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1</v>
      </c>
      <c r="E63">
        <f t="shared" si="3"/>
        <v>0</v>
      </c>
      <c r="G63">
        <f t="shared" si="4"/>
        <v>1</v>
      </c>
      <c r="I63">
        <f t="shared" si="5"/>
        <v>0</v>
      </c>
      <c r="K63">
        <f t="shared" si="6"/>
        <v>5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>
        <f t="shared" si="15"/>
        <v>1</v>
      </c>
      <c r="AA63">
        <f t="shared" si="16"/>
        <v>1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6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>
        <f t="shared" si="11"/>
        <v>1</v>
      </c>
      <c r="T64">
        <f t="shared" si="12"/>
        <v>1</v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2</v>
      </c>
      <c r="C65">
        <f t="shared" si="2"/>
        <v>0</v>
      </c>
      <c r="E65">
        <f t="shared" si="3"/>
        <v>0</v>
      </c>
      <c r="G65">
        <f t="shared" si="4"/>
        <v>0</v>
      </c>
      <c r="I65">
        <f t="shared" si="5"/>
        <v>0</v>
      </c>
      <c r="K65">
        <f t="shared" si="6"/>
        <v>2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>
        <f t="shared" si="15"/>
        <v>1</v>
      </c>
      <c r="AA65">
        <f t="shared" si="16"/>
        <v>1</v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8</v>
      </c>
      <c r="T66">
        <f>SUM(T54:T65)</f>
        <v>8</v>
      </c>
      <c r="U66">
        <f>SUM(U54:U65)</f>
        <v>1</v>
      </c>
      <c r="V66">
        <f>SUM(V54:V65)</f>
        <v>1</v>
      </c>
      <c r="Y66">
        <f>SUM(Y54:Y65)</f>
        <v>9</v>
      </c>
      <c r="AA66">
        <f>SUM(AA54:AA65)</f>
        <v>6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4</v>
      </c>
      <c r="G68">
        <f>AVERAGE(E68:E79)</f>
        <v>4.75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4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5</v>
      </c>
      <c r="I70">
        <f t="shared" si="22"/>
        <v>0</v>
      </c>
      <c r="K70">
        <f t="shared" si="23"/>
        <v>0</v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1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10</v>
      </c>
      <c r="I72" t="str">
        <f t="shared" si="22"/>
        <v/>
      </c>
      <c r="K72" t="str">
        <f t="shared" si="23"/>
        <v/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5</v>
      </c>
      <c r="I73">
        <f t="shared" si="22"/>
        <v>0</v>
      </c>
      <c r="K73">
        <f t="shared" si="23"/>
        <v>0</v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2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1</v>
      </c>
      <c r="E75">
        <f t="shared" si="21"/>
        <v>5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6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1</v>
      </c>
      <c r="C77">
        <f t="shared" si="20"/>
        <v>1</v>
      </c>
      <c r="E77">
        <f t="shared" si="21"/>
        <v>5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7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1</v>
      </c>
      <c r="E79">
        <f t="shared" si="21"/>
        <v>3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K4">
        <v>6</v>
      </c>
      <c r="N4">
        <v>2</v>
      </c>
      <c r="O4">
        <v>2</v>
      </c>
      <c r="P4">
        <v>2</v>
      </c>
      <c r="Q4">
        <v>1</v>
      </c>
      <c r="R4">
        <v>1</v>
      </c>
      <c r="U4">
        <v>1</v>
      </c>
      <c r="V4">
        <v>1</v>
      </c>
      <c r="W4" t="s">
        <v>186</v>
      </c>
    </row>
    <row r="5" spans="1:66" x14ac:dyDescent="0.2">
      <c r="A5">
        <v>2</v>
      </c>
      <c r="B5">
        <v>17</v>
      </c>
      <c r="C5">
        <v>1</v>
      </c>
      <c r="K5">
        <v>9</v>
      </c>
      <c r="L5">
        <v>4</v>
      </c>
      <c r="M5">
        <v>4</v>
      </c>
      <c r="O5">
        <v>4</v>
      </c>
      <c r="P5">
        <v>4</v>
      </c>
      <c r="Q5">
        <v>1</v>
      </c>
      <c r="R5">
        <v>1</v>
      </c>
      <c r="S5">
        <v>1</v>
      </c>
      <c r="T5">
        <v>1</v>
      </c>
      <c r="U5">
        <v>1</v>
      </c>
      <c r="W5" t="s">
        <v>186</v>
      </c>
      <c r="X5">
        <v>1</v>
      </c>
    </row>
    <row r="6" spans="1:66" x14ac:dyDescent="0.2">
      <c r="A6">
        <v>3</v>
      </c>
      <c r="B6">
        <v>29</v>
      </c>
      <c r="D6" t="s">
        <v>185</v>
      </c>
      <c r="E6">
        <v>1</v>
      </c>
      <c r="F6">
        <v>1</v>
      </c>
      <c r="K6">
        <v>4</v>
      </c>
      <c r="O6">
        <v>4</v>
      </c>
      <c r="P6">
        <v>3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34</v>
      </c>
      <c r="G7" t="s">
        <v>188</v>
      </c>
      <c r="H7">
        <v>2</v>
      </c>
      <c r="I7">
        <v>2</v>
      </c>
      <c r="J7">
        <v>1</v>
      </c>
      <c r="K7">
        <v>8</v>
      </c>
      <c r="L7">
        <v>6</v>
      </c>
      <c r="M7">
        <v>6</v>
      </c>
      <c r="O7">
        <v>2</v>
      </c>
      <c r="P7">
        <v>2</v>
      </c>
      <c r="S7">
        <v>1</v>
      </c>
      <c r="T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46</v>
      </c>
      <c r="C8">
        <v>1</v>
      </c>
      <c r="D8" t="s">
        <v>188</v>
      </c>
      <c r="E8">
        <v>1</v>
      </c>
      <c r="J8">
        <v>4</v>
      </c>
      <c r="K8">
        <v>4</v>
      </c>
      <c r="L8">
        <v>1</v>
      </c>
      <c r="M8">
        <v>1</v>
      </c>
      <c r="N8">
        <v>4</v>
      </c>
      <c r="O8">
        <v>4</v>
      </c>
      <c r="P8">
        <v>3</v>
      </c>
      <c r="U8">
        <v>1</v>
      </c>
      <c r="V8">
        <v>1</v>
      </c>
      <c r="W8" t="s">
        <v>186</v>
      </c>
    </row>
    <row r="9" spans="1:66" x14ac:dyDescent="0.2">
      <c r="A9">
        <v>6</v>
      </c>
      <c r="B9">
        <v>51</v>
      </c>
      <c r="C9">
        <v>1</v>
      </c>
      <c r="D9" t="s">
        <v>188</v>
      </c>
      <c r="E9">
        <v>1</v>
      </c>
      <c r="F9">
        <v>1</v>
      </c>
      <c r="K9">
        <v>8</v>
      </c>
      <c r="N9">
        <v>1</v>
      </c>
      <c r="O9">
        <v>6</v>
      </c>
      <c r="P9">
        <v>6</v>
      </c>
      <c r="Q9">
        <v>1</v>
      </c>
      <c r="R9">
        <v>1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67</v>
      </c>
      <c r="G10" t="s">
        <v>188</v>
      </c>
      <c r="H10">
        <v>1</v>
      </c>
      <c r="I10">
        <v>1</v>
      </c>
      <c r="K10">
        <v>12</v>
      </c>
      <c r="L10">
        <v>5</v>
      </c>
      <c r="M10">
        <v>5</v>
      </c>
      <c r="O10">
        <v>4</v>
      </c>
      <c r="P10">
        <v>2</v>
      </c>
      <c r="Q10">
        <v>3</v>
      </c>
      <c r="R10">
        <v>3</v>
      </c>
      <c r="X10">
        <v>1</v>
      </c>
    </row>
    <row r="11" spans="1:66" x14ac:dyDescent="0.2">
      <c r="A11">
        <v>8</v>
      </c>
      <c r="B11">
        <v>72</v>
      </c>
      <c r="C11">
        <v>1</v>
      </c>
      <c r="G11" t="s">
        <v>188</v>
      </c>
      <c r="H11">
        <v>1</v>
      </c>
      <c r="I11">
        <v>1</v>
      </c>
      <c r="J11">
        <v>1</v>
      </c>
      <c r="K11">
        <v>6</v>
      </c>
      <c r="O11">
        <v>3</v>
      </c>
      <c r="P11">
        <v>3</v>
      </c>
      <c r="Q11">
        <v>3</v>
      </c>
      <c r="R11">
        <v>3</v>
      </c>
      <c r="S11">
        <v>1</v>
      </c>
      <c r="T11">
        <v>1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82</v>
      </c>
      <c r="D12" t="s">
        <v>185</v>
      </c>
      <c r="E12">
        <v>1</v>
      </c>
      <c r="K12">
        <v>5</v>
      </c>
      <c r="O12">
        <v>4</v>
      </c>
      <c r="P12">
        <v>4</v>
      </c>
      <c r="Q12">
        <v>2</v>
      </c>
      <c r="R12">
        <v>2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95</v>
      </c>
      <c r="J13">
        <v>6</v>
      </c>
      <c r="K13">
        <v>2</v>
      </c>
      <c r="N13">
        <v>6</v>
      </c>
      <c r="O13">
        <v>3</v>
      </c>
      <c r="P13">
        <v>3</v>
      </c>
      <c r="S13">
        <v>1</v>
      </c>
      <c r="X13">
        <v>1</v>
      </c>
    </row>
    <row r="14" spans="1:66" x14ac:dyDescent="0.2">
      <c r="A14">
        <v>11</v>
      </c>
      <c r="B14">
        <v>109</v>
      </c>
      <c r="G14" t="s">
        <v>188</v>
      </c>
      <c r="H14">
        <v>1</v>
      </c>
      <c r="I14">
        <v>1</v>
      </c>
      <c r="K14">
        <v>5</v>
      </c>
      <c r="O14">
        <v>3</v>
      </c>
      <c r="P14">
        <v>3</v>
      </c>
      <c r="Q14">
        <v>2</v>
      </c>
      <c r="R14">
        <v>2</v>
      </c>
      <c r="S14">
        <v>1</v>
      </c>
      <c r="T14">
        <v>1</v>
      </c>
      <c r="U14">
        <v>1</v>
      </c>
      <c r="W14" t="s">
        <v>186</v>
      </c>
      <c r="X14">
        <v>1</v>
      </c>
    </row>
    <row r="15" spans="1:66" x14ac:dyDescent="0.2">
      <c r="A15">
        <v>12</v>
      </c>
      <c r="B15">
        <v>118</v>
      </c>
      <c r="D15" t="s">
        <v>185</v>
      </c>
      <c r="E15">
        <v>1</v>
      </c>
      <c r="J15">
        <v>3</v>
      </c>
      <c r="K15">
        <v>5</v>
      </c>
      <c r="N15">
        <v>7</v>
      </c>
      <c r="O15">
        <v>2</v>
      </c>
      <c r="P15">
        <v>2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5</v>
      </c>
      <c r="F16">
        <f>SUM(F4:F15)</f>
        <v>2</v>
      </c>
      <c r="H16">
        <f t="shared" ref="H16:P16" si="0">SUM(H4:H15)</f>
        <v>5</v>
      </c>
      <c r="I16">
        <f t="shared" si="0"/>
        <v>5</v>
      </c>
      <c r="J16">
        <f t="shared" si="0"/>
        <v>15</v>
      </c>
      <c r="K16">
        <f t="shared" si="0"/>
        <v>74</v>
      </c>
      <c r="L16">
        <f t="shared" si="0"/>
        <v>16</v>
      </c>
      <c r="M16">
        <f t="shared" si="0"/>
        <v>16</v>
      </c>
      <c r="N16">
        <f t="shared" si="0"/>
        <v>20</v>
      </c>
      <c r="O16">
        <f t="shared" si="0"/>
        <v>41</v>
      </c>
      <c r="P16">
        <f t="shared" si="0"/>
        <v>37</v>
      </c>
      <c r="Q16">
        <f>SUM(Q4:Q15)</f>
        <v>13</v>
      </c>
      <c r="R16">
        <f>SUM(R4:R15)</f>
        <v>13</v>
      </c>
      <c r="S16">
        <f>SUM(S4:S15)</f>
        <v>5</v>
      </c>
      <c r="T16">
        <v>0</v>
      </c>
      <c r="U16">
        <f>SUM(U4:U15)</f>
        <v>9</v>
      </c>
      <c r="V16">
        <f>SUM(V4:V15)</f>
        <v>5</v>
      </c>
      <c r="W16">
        <f>SUM(W4:W15)</f>
        <v>0</v>
      </c>
      <c r="X16">
        <f>SUM(X4:X15)</f>
        <v>7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0.4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0.90243902439024393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0.33333333333333331</v>
      </c>
      <c r="F22" t="e">
        <f>T66/S66</f>
        <v>#DIV/0!</v>
      </c>
      <c r="I22" t="s">
        <v>23</v>
      </c>
      <c r="N22">
        <f>AVERAGE(I54:I65)</f>
        <v>1.25</v>
      </c>
      <c r="O22">
        <f>MEDIAN(I54:I65)</f>
        <v>0</v>
      </c>
      <c r="P22">
        <f>MAX(I54:I65)</f>
        <v>6</v>
      </c>
      <c r="Q22">
        <f>_xlfn.STDEV.S(I54:I65)</f>
        <v>2.0056737702645644</v>
      </c>
      <c r="S22">
        <f>V16/U16</f>
        <v>0.55555555555555558</v>
      </c>
      <c r="U22">
        <f>AA66/Y66</f>
        <v>0.55555555555555558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0.5</v>
      </c>
      <c r="F24">
        <f>V66/U66</f>
        <v>1</v>
      </c>
      <c r="I24">
        <f>AVERAGE(A54:A65)</f>
        <v>3.0833333333333335</v>
      </c>
      <c r="J24">
        <f>MAX(A54:A65)</f>
        <v>6</v>
      </c>
      <c r="K24">
        <f>_xlfn.STDEV.S(A54:A65)</f>
        <v>1.1645001528813153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0.41666666666666669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6.166666666666667</v>
      </c>
      <c r="O25">
        <f>MEDIAN(K54:K65)</f>
        <v>5.5</v>
      </c>
      <c r="P25">
        <f>MAX(K54:K65)</f>
        <v>12</v>
      </c>
      <c r="Q25">
        <f>_xlfn.STDEV.S(K54:K65)</f>
        <v>2.6911752530120077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0.16666666666666666</v>
      </c>
      <c r="F26">
        <f>I16/A19</f>
        <v>0.41666666666666669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0.16853932584269662</v>
      </c>
    </row>
    <row r="29" spans="1:66" x14ac:dyDescent="0.2">
      <c r="D29">
        <f>_xlfn.STDEV.S(A68:A79)</f>
        <v>0.5</v>
      </c>
      <c r="I29">
        <f>AVERAGE(C54:C65)</f>
        <v>1.0833333333333333</v>
      </c>
      <c r="J29">
        <f>MAX(C54:C65)</f>
        <v>3</v>
      </c>
      <c r="K29">
        <f>_xlfn.STDEV.S(C54:C65)</f>
        <v>1.164500152881315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0.8314606741573034</v>
      </c>
      <c r="S30">
        <f>_xlfn.STDEV.S(C68:C79)</f>
        <v>0.51492865054443726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>
        <f>H94/F94</f>
        <v>1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1.3333333333333333</v>
      </c>
      <c r="J34">
        <f>MAX(E54:E65)</f>
        <v>6</v>
      </c>
      <c r="K34">
        <f>_xlfn.STDEV.S(E54:E65)</f>
        <v>2.2696949467968492</v>
      </c>
      <c r="L34">
        <f>AVERAGE(K68:K79)</f>
        <v>1.25</v>
      </c>
      <c r="M34">
        <f>MAX(K68:K79)</f>
        <v>4</v>
      </c>
      <c r="N34">
        <f>_xlfn.STDEV.S(K68:K79)</f>
        <v>1.8929694486000912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1.6666666666666667</v>
      </c>
      <c r="J37">
        <f>MAX(G54:G65)</f>
        <v>7</v>
      </c>
      <c r="K37">
        <f>_xlfn.STDEV.S(G54:G65)</f>
        <v>2.5702257889260633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2</v>
      </c>
      <c r="C54">
        <f t="shared" ref="C54:C65" si="2">IF(ISBLANK(B4),"",R4)</f>
        <v>1</v>
      </c>
      <c r="E54">
        <f t="shared" ref="E54:E65" si="3">IF(ISBLANK(B4),"",M4)</f>
        <v>0</v>
      </c>
      <c r="G54">
        <f t="shared" ref="G54:G65" si="4">IF(ISBLANK(B4),"",N4)</f>
        <v>2</v>
      </c>
      <c r="I54">
        <f t="shared" ref="I54:I65" si="5">IF(ISBLANK(B4),"",J4)</f>
        <v>0</v>
      </c>
      <c r="K54">
        <f t="shared" ref="K54:K65" si="6">IF(ISBLANK(B4),"",K4)</f>
        <v>6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>
        <f t="shared" ref="Y54:Y65" si="15">IF(ISBLANK(B4),"",IF(W4="s",U4,""))</f>
        <v>1</v>
      </c>
      <c r="AA54">
        <f t="shared" ref="AA54:AA65" si="16">IF(ISBLANK(B4),"",IF(W4="s",V4,""))</f>
        <v>1</v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4</v>
      </c>
      <c r="C55">
        <f t="shared" si="2"/>
        <v>1</v>
      </c>
      <c r="E55">
        <f t="shared" si="3"/>
        <v>4</v>
      </c>
      <c r="G55">
        <f t="shared" si="4"/>
        <v>0</v>
      </c>
      <c r="I55">
        <f t="shared" si="5"/>
        <v>0</v>
      </c>
      <c r="K55">
        <f t="shared" si="6"/>
        <v>9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0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3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4</v>
      </c>
      <c r="N56">
        <f t="shared" si="7"/>
        <v>1</v>
      </c>
      <c r="O56">
        <f t="shared" si="8"/>
        <v>1</v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2</v>
      </c>
      <c r="C57">
        <f t="shared" si="2"/>
        <v>0</v>
      </c>
      <c r="E57">
        <f t="shared" si="3"/>
        <v>6</v>
      </c>
      <c r="G57">
        <f t="shared" si="4"/>
        <v>0</v>
      </c>
      <c r="I57">
        <f t="shared" si="5"/>
        <v>1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2</v>
      </c>
      <c r="V57">
        <f t="shared" si="14"/>
        <v>2</v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3</v>
      </c>
      <c r="C58">
        <f t="shared" si="2"/>
        <v>0</v>
      </c>
      <c r="E58">
        <f t="shared" si="3"/>
        <v>1</v>
      </c>
      <c r="G58">
        <f t="shared" si="4"/>
        <v>4</v>
      </c>
      <c r="I58">
        <f t="shared" si="5"/>
        <v>4</v>
      </c>
      <c r="K58">
        <f t="shared" si="6"/>
        <v>4</v>
      </c>
      <c r="N58" t="str">
        <f t="shared" si="7"/>
        <v/>
      </c>
      <c r="O58" t="str">
        <f t="shared" si="8"/>
        <v/>
      </c>
      <c r="P58">
        <f t="shared" si="9"/>
        <v>1</v>
      </c>
      <c r="Q58">
        <f t="shared" si="10"/>
        <v>0</v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>
        <f t="shared" si="15"/>
        <v>1</v>
      </c>
      <c r="AA58">
        <f t="shared" si="16"/>
        <v>1</v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6</v>
      </c>
      <c r="C59">
        <f t="shared" si="2"/>
        <v>1</v>
      </c>
      <c r="E59">
        <f t="shared" si="3"/>
        <v>0</v>
      </c>
      <c r="G59">
        <f t="shared" si="4"/>
        <v>1</v>
      </c>
      <c r="I59">
        <f t="shared" si="5"/>
        <v>0</v>
      </c>
      <c r="K59">
        <f t="shared" si="6"/>
        <v>8</v>
      </c>
      <c r="N59" t="str">
        <f t="shared" si="7"/>
        <v/>
      </c>
      <c r="O59" t="str">
        <f t="shared" si="8"/>
        <v/>
      </c>
      <c r="P59">
        <f t="shared" si="9"/>
        <v>1</v>
      </c>
      <c r="Q59">
        <f t="shared" si="10"/>
        <v>1</v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2</v>
      </c>
      <c r="C60">
        <f t="shared" si="2"/>
        <v>3</v>
      </c>
      <c r="E60">
        <f t="shared" si="3"/>
        <v>5</v>
      </c>
      <c r="G60">
        <f t="shared" si="4"/>
        <v>0</v>
      </c>
      <c r="I60">
        <f t="shared" si="5"/>
        <v>0</v>
      </c>
      <c r="K60">
        <f t="shared" si="6"/>
        <v>12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1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3</v>
      </c>
      <c r="C61">
        <f t="shared" si="2"/>
        <v>3</v>
      </c>
      <c r="E61">
        <f t="shared" si="3"/>
        <v>0</v>
      </c>
      <c r="G61">
        <f t="shared" si="4"/>
        <v>0</v>
      </c>
      <c r="I61">
        <f t="shared" si="5"/>
        <v>1</v>
      </c>
      <c r="K61">
        <f t="shared" si="6"/>
        <v>6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>
        <f t="shared" si="13"/>
        <v>1</v>
      </c>
      <c r="V61">
        <f t="shared" si="14"/>
        <v>1</v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4</v>
      </c>
      <c r="C62">
        <f t="shared" si="2"/>
        <v>2</v>
      </c>
      <c r="E62">
        <f t="shared" si="3"/>
        <v>0</v>
      </c>
      <c r="G62">
        <f t="shared" si="4"/>
        <v>0</v>
      </c>
      <c r="I62">
        <f t="shared" si="5"/>
        <v>0</v>
      </c>
      <c r="K62">
        <f t="shared" si="6"/>
        <v>5</v>
      </c>
      <c r="N62">
        <f t="shared" si="7"/>
        <v>1</v>
      </c>
      <c r="O62">
        <f t="shared" si="8"/>
        <v>0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3</v>
      </c>
      <c r="C63">
        <f t="shared" si="2"/>
        <v>0</v>
      </c>
      <c r="E63">
        <f t="shared" si="3"/>
        <v>0</v>
      </c>
      <c r="G63">
        <f t="shared" si="4"/>
        <v>6</v>
      </c>
      <c r="I63">
        <f t="shared" si="5"/>
        <v>6</v>
      </c>
      <c r="K63">
        <f t="shared" si="6"/>
        <v>2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3</v>
      </c>
      <c r="C64">
        <f t="shared" si="2"/>
        <v>2</v>
      </c>
      <c r="E64">
        <f t="shared" si="3"/>
        <v>0</v>
      </c>
      <c r="G64">
        <f t="shared" si="4"/>
        <v>0</v>
      </c>
      <c r="I64">
        <f t="shared" si="5"/>
        <v>0</v>
      </c>
      <c r="K64">
        <f t="shared" si="6"/>
        <v>5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>
        <f t="shared" si="15"/>
        <v>1</v>
      </c>
      <c r="AA64">
        <f t="shared" si="16"/>
        <v>0</v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2</v>
      </c>
      <c r="C65">
        <f t="shared" si="2"/>
        <v>0</v>
      </c>
      <c r="E65">
        <f t="shared" si="3"/>
        <v>0</v>
      </c>
      <c r="G65">
        <f t="shared" si="4"/>
        <v>7</v>
      </c>
      <c r="I65">
        <f t="shared" si="5"/>
        <v>3</v>
      </c>
      <c r="K65">
        <f t="shared" si="6"/>
        <v>5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3</v>
      </c>
      <c r="O66">
        <f>SUM(O54:O65)</f>
        <v>1</v>
      </c>
      <c r="P66">
        <f>SUM(P54:P65)</f>
        <v>2</v>
      </c>
      <c r="Q66">
        <f>SUM(Q54:Q65)</f>
        <v>1</v>
      </c>
      <c r="S66">
        <f>SUM(S54:S65)</f>
        <v>0</v>
      </c>
      <c r="T66">
        <f>SUM(T54:T65)</f>
        <v>0</v>
      </c>
      <c r="U66">
        <f>SUM(U54:U65)</f>
        <v>5</v>
      </c>
      <c r="V66">
        <f>SUM(V54:V65)</f>
        <v>5</v>
      </c>
      <c r="Y66">
        <f>SUM(Y54:Y65)</f>
        <v>9</v>
      </c>
      <c r="AA66">
        <f>SUM(AA54:AA65)</f>
        <v>5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1</v>
      </c>
      <c r="E68">
        <f t="shared" ref="E68:E79" si="21">IF(ISBLANK(B4), "", SUM(F4, I4, M4, P4, R4))</f>
        <v>3</v>
      </c>
      <c r="G68">
        <f>AVERAGE(E68:E79)</f>
        <v>6.083333333333333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9</v>
      </c>
      <c r="I69">
        <f t="shared" ref="I69:I79" si="22">IF(ISBLANK(B5)+ISBLANK(C5), "", L5)</f>
        <v>4</v>
      </c>
      <c r="K69">
        <f t="shared" ref="K69:K79" si="23">IF(ISBLANK(B5)+ISBLANK(C5), "", M5)</f>
        <v>4</v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4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2</v>
      </c>
      <c r="C71">
        <f t="shared" si="20"/>
        <v>0</v>
      </c>
      <c r="E71">
        <f t="shared" si="21"/>
        <v>10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1</v>
      </c>
      <c r="E72">
        <f t="shared" si="21"/>
        <v>4</v>
      </c>
      <c r="I72">
        <f t="shared" si="22"/>
        <v>1</v>
      </c>
      <c r="K72">
        <f t="shared" si="23"/>
        <v>1</v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8</v>
      </c>
      <c r="I73">
        <f t="shared" si="22"/>
        <v>0</v>
      </c>
      <c r="K73">
        <f t="shared" si="23"/>
        <v>0</v>
      </c>
    </row>
    <row r="74" spans="1:31" x14ac:dyDescent="0.2">
      <c r="A74">
        <f t="shared" si="19"/>
        <v>1</v>
      </c>
      <c r="C74">
        <f t="shared" si="20"/>
        <v>0</v>
      </c>
      <c r="E74">
        <f t="shared" si="21"/>
        <v>11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7</v>
      </c>
      <c r="I75">
        <f t="shared" si="22"/>
        <v>0</v>
      </c>
      <c r="K75">
        <f t="shared" si="23"/>
        <v>0</v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6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3</v>
      </c>
      <c r="I77" t="str">
        <f t="shared" si="22"/>
        <v/>
      </c>
      <c r="K77" t="str">
        <f t="shared" si="23"/>
        <v/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6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2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5</v>
      </c>
      <c r="K80">
        <f>SUM(K68:K79)</f>
        <v>5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>
        <f t="shared" si="26"/>
        <v>2</v>
      </c>
      <c r="H85">
        <f t="shared" si="27"/>
        <v>2</v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2</v>
      </c>
      <c r="H94">
        <f>SUM(H82:H93)</f>
        <v>2</v>
      </c>
    </row>
  </sheetData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8</v>
      </c>
      <c r="G4" t="s">
        <v>185</v>
      </c>
      <c r="H4">
        <v>1</v>
      </c>
      <c r="K4">
        <v>5</v>
      </c>
      <c r="L4">
        <v>4</v>
      </c>
      <c r="M4">
        <v>3</v>
      </c>
      <c r="Q4">
        <v>2</v>
      </c>
      <c r="R4">
        <v>2</v>
      </c>
    </row>
    <row r="5" spans="1:66" x14ac:dyDescent="0.2">
      <c r="A5">
        <v>2</v>
      </c>
      <c r="B5">
        <v>20</v>
      </c>
      <c r="C5">
        <v>1</v>
      </c>
      <c r="K5">
        <v>5</v>
      </c>
      <c r="Q5">
        <v>5</v>
      </c>
      <c r="R5">
        <v>5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25</v>
      </c>
      <c r="C6">
        <v>1</v>
      </c>
      <c r="G6" t="s">
        <v>185</v>
      </c>
      <c r="H6">
        <v>1</v>
      </c>
      <c r="K6">
        <v>6</v>
      </c>
      <c r="Q6">
        <v>6</v>
      </c>
      <c r="R6">
        <v>4</v>
      </c>
      <c r="U6">
        <v>1</v>
      </c>
      <c r="V6">
        <v>1</v>
      </c>
      <c r="W6" t="s">
        <v>186</v>
      </c>
    </row>
    <row r="7" spans="1:66" x14ac:dyDescent="0.2">
      <c r="A7">
        <v>4</v>
      </c>
      <c r="B7">
        <v>32</v>
      </c>
      <c r="C7">
        <v>1</v>
      </c>
      <c r="G7" t="s">
        <v>185</v>
      </c>
      <c r="H7">
        <v>1</v>
      </c>
      <c r="I7">
        <v>1</v>
      </c>
      <c r="K7">
        <v>6</v>
      </c>
      <c r="L7">
        <v>5</v>
      </c>
      <c r="M7">
        <v>4</v>
      </c>
      <c r="Q7">
        <v>1</v>
      </c>
      <c r="U7">
        <v>1</v>
      </c>
      <c r="W7" t="s">
        <v>186</v>
      </c>
      <c r="X7">
        <v>1</v>
      </c>
    </row>
    <row r="8" spans="1:66" x14ac:dyDescent="0.2">
      <c r="A8">
        <v>5</v>
      </c>
      <c r="B8">
        <v>42</v>
      </c>
      <c r="K8">
        <v>5</v>
      </c>
      <c r="L8">
        <v>5</v>
      </c>
      <c r="M8">
        <v>4</v>
      </c>
      <c r="Q8">
        <v>2</v>
      </c>
      <c r="R8">
        <v>2</v>
      </c>
      <c r="X8">
        <v>1</v>
      </c>
    </row>
    <row r="9" spans="1:66" x14ac:dyDescent="0.2">
      <c r="A9">
        <v>6</v>
      </c>
      <c r="B9">
        <v>56</v>
      </c>
      <c r="D9" t="s">
        <v>185</v>
      </c>
      <c r="E9">
        <v>1</v>
      </c>
      <c r="K9">
        <v>5</v>
      </c>
      <c r="O9">
        <v>5</v>
      </c>
      <c r="P9">
        <v>4</v>
      </c>
      <c r="U9">
        <v>1</v>
      </c>
      <c r="V9">
        <v>1</v>
      </c>
      <c r="W9" t="s">
        <v>186</v>
      </c>
    </row>
    <row r="10" spans="1:66" x14ac:dyDescent="0.2">
      <c r="A10">
        <v>7</v>
      </c>
      <c r="B10">
        <v>62</v>
      </c>
      <c r="K10">
        <v>4</v>
      </c>
      <c r="O10">
        <v>2</v>
      </c>
      <c r="P10">
        <v>1</v>
      </c>
      <c r="X10">
        <v>1</v>
      </c>
    </row>
    <row r="11" spans="1:66" x14ac:dyDescent="0.2">
      <c r="A11">
        <v>8</v>
      </c>
      <c r="B11">
        <v>71</v>
      </c>
      <c r="G11" t="s">
        <v>185</v>
      </c>
      <c r="H11">
        <v>1</v>
      </c>
      <c r="I11">
        <v>1</v>
      </c>
      <c r="K11">
        <v>7</v>
      </c>
      <c r="L11">
        <v>7</v>
      </c>
      <c r="M11">
        <v>6</v>
      </c>
      <c r="X11">
        <v>1</v>
      </c>
    </row>
    <row r="12" spans="1:66" x14ac:dyDescent="0.2">
      <c r="A12">
        <v>9</v>
      </c>
      <c r="B12">
        <v>81</v>
      </c>
      <c r="K12">
        <v>3</v>
      </c>
      <c r="L12">
        <v>1</v>
      </c>
      <c r="M12">
        <v>1</v>
      </c>
      <c r="O12">
        <v>2</v>
      </c>
      <c r="P12">
        <v>1</v>
      </c>
      <c r="U12">
        <v>1</v>
      </c>
      <c r="V12">
        <v>1</v>
      </c>
      <c r="W12" t="s">
        <v>186</v>
      </c>
    </row>
    <row r="13" spans="1:66" x14ac:dyDescent="0.2">
      <c r="A13">
        <v>10</v>
      </c>
      <c r="B13">
        <v>92</v>
      </c>
      <c r="C13">
        <v>1</v>
      </c>
      <c r="D13" t="s">
        <v>185</v>
      </c>
      <c r="E13">
        <v>1</v>
      </c>
      <c r="F13">
        <v>1</v>
      </c>
      <c r="K13">
        <v>6</v>
      </c>
      <c r="L13">
        <v>6</v>
      </c>
      <c r="M13">
        <v>4</v>
      </c>
      <c r="S13">
        <v>1</v>
      </c>
      <c r="T13">
        <v>1</v>
      </c>
      <c r="U13">
        <v>1</v>
      </c>
      <c r="W13" t="s">
        <v>186</v>
      </c>
      <c r="X13">
        <v>1</v>
      </c>
    </row>
    <row r="14" spans="1:66" x14ac:dyDescent="0.2">
      <c r="A14">
        <v>11</v>
      </c>
      <c r="B14">
        <v>105</v>
      </c>
      <c r="D14" t="s">
        <v>185</v>
      </c>
      <c r="E14">
        <v>1</v>
      </c>
      <c r="K14">
        <v>4</v>
      </c>
      <c r="L14">
        <v>3</v>
      </c>
      <c r="M14">
        <v>3</v>
      </c>
      <c r="Q14">
        <v>1</v>
      </c>
      <c r="R14">
        <v>1</v>
      </c>
      <c r="X14">
        <v>1</v>
      </c>
    </row>
    <row r="15" spans="1:66" x14ac:dyDescent="0.2">
      <c r="A15">
        <v>12</v>
      </c>
      <c r="B15">
        <v>112</v>
      </c>
      <c r="D15" t="s">
        <v>185</v>
      </c>
      <c r="E15">
        <v>1</v>
      </c>
      <c r="K15">
        <v>7</v>
      </c>
      <c r="L15">
        <v>6</v>
      </c>
      <c r="M15">
        <v>6</v>
      </c>
      <c r="Q15">
        <v>1</v>
      </c>
      <c r="R15">
        <v>1</v>
      </c>
      <c r="S15">
        <v>1</v>
      </c>
      <c r="T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4</v>
      </c>
      <c r="F16">
        <f>SUM(F4:F15)</f>
        <v>1</v>
      </c>
      <c r="H16">
        <f t="shared" ref="H16:P16" si="0">SUM(H4:H15)</f>
        <v>4</v>
      </c>
      <c r="I16">
        <f t="shared" si="0"/>
        <v>2</v>
      </c>
      <c r="J16">
        <f t="shared" si="0"/>
        <v>0</v>
      </c>
      <c r="K16">
        <f t="shared" si="0"/>
        <v>63</v>
      </c>
      <c r="L16">
        <f t="shared" si="0"/>
        <v>37</v>
      </c>
      <c r="M16">
        <f t="shared" si="0"/>
        <v>31</v>
      </c>
      <c r="N16">
        <f t="shared" si="0"/>
        <v>0</v>
      </c>
      <c r="O16">
        <f t="shared" si="0"/>
        <v>9</v>
      </c>
      <c r="P16">
        <f t="shared" si="0"/>
        <v>6</v>
      </c>
      <c r="Q16">
        <f>SUM(Q4:Q15)</f>
        <v>18</v>
      </c>
      <c r="R16">
        <f>SUM(R4:R15)</f>
        <v>15</v>
      </c>
      <c r="S16">
        <f>SUM(S4:S15)</f>
        <v>3</v>
      </c>
      <c r="T16">
        <v>0</v>
      </c>
      <c r="U16">
        <f>SUM(U4:U15)</f>
        <v>5</v>
      </c>
      <c r="V16">
        <f>SUM(V4:V15)</f>
        <v>3</v>
      </c>
      <c r="W16">
        <f>SUM(W4:W15)</f>
        <v>0</v>
      </c>
      <c r="X16">
        <f>SUM(X4:X15)</f>
        <v>8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0.25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0.66666666666666663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0.25</v>
      </c>
      <c r="F22">
        <f>T66/S66</f>
        <v>0.5</v>
      </c>
      <c r="I22" t="s">
        <v>23</v>
      </c>
      <c r="N22">
        <f>AVERAGE(I54:I65)</f>
        <v>0</v>
      </c>
      <c r="O22">
        <f>MEDIAN(I54:I65)</f>
        <v>0</v>
      </c>
      <c r="P22">
        <f>MAX(I54:I65)</f>
        <v>0</v>
      </c>
      <c r="Q22">
        <f>_xlfn.STDEV.S(I54:I65)</f>
        <v>0</v>
      </c>
      <c r="S22">
        <f>V16/U16</f>
        <v>0.6</v>
      </c>
      <c r="U22">
        <f>AA66/Y66</f>
        <v>0.6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0.5</v>
      </c>
      <c r="J24">
        <f>MAX(A54:A65)</f>
        <v>4</v>
      </c>
      <c r="K24">
        <f>_xlfn.STDEV.S(A54:A65)</f>
        <v>1.1677484162422844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0.25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5.25</v>
      </c>
      <c r="O25">
        <f>MEDIAN(K54:K65)</f>
        <v>5</v>
      </c>
      <c r="P25">
        <f>MAX(K54:K65)</f>
        <v>7</v>
      </c>
      <c r="Q25">
        <f>_xlfn.STDEV.S(K54:K65)</f>
        <v>1.2154310870109943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8.3333333333333329E-2</v>
      </c>
      <c r="F26">
        <f>I16/A19</f>
        <v>0.16666666666666666</v>
      </c>
      <c r="I26">
        <f>R16/Q16</f>
        <v>0.83333333333333337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</v>
      </c>
    </row>
    <row r="29" spans="1:66" x14ac:dyDescent="0.2">
      <c r="D29">
        <f>_xlfn.STDEV.S(A68:A79)</f>
        <v>0.57735026918962573</v>
      </c>
      <c r="I29">
        <f>AVERAGE(C54:C65)</f>
        <v>1.25</v>
      </c>
      <c r="J29">
        <f>MAX(C54:C65)</f>
        <v>5</v>
      </c>
      <c r="K29">
        <f>_xlfn.STDEV.S(C54:C65)</f>
        <v>1.712255291076124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1</v>
      </c>
      <c r="S30">
        <f>_xlfn.STDEV.S(C68:C79)</f>
        <v>0.45226701686664544</v>
      </c>
    </row>
    <row r="31" spans="1:66" x14ac:dyDescent="0.2">
      <c r="D31" t="s">
        <v>179</v>
      </c>
      <c r="F31" t="s">
        <v>180</v>
      </c>
      <c r="I31">
        <f>M16/L16</f>
        <v>0.83783783783783783</v>
      </c>
      <c r="L31">
        <f>K80/I80</f>
        <v>0.72727272727272729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2.5833333333333335</v>
      </c>
      <c r="J34">
        <f>MAX(E54:E65)</f>
        <v>6</v>
      </c>
      <c r="K34">
        <f>_xlfn.STDEV.S(E54:E65)</f>
        <v>2.3143164446679729</v>
      </c>
      <c r="L34">
        <f>AVERAGE(K68:K79)</f>
        <v>2</v>
      </c>
      <c r="M34">
        <f>MAX(K68:K79)</f>
        <v>4</v>
      </c>
      <c r="N34">
        <f>_xlfn.STDEV.S(K68:K79)</f>
        <v>2.3094010767585029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</v>
      </c>
      <c r="J37">
        <f>MAX(G54:G65)</f>
        <v>0</v>
      </c>
      <c r="K37">
        <f>_xlfn.STDEV.S(G54:G65)</f>
        <v>0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2</v>
      </c>
      <c r="E54">
        <f t="shared" ref="E54:E65" si="3">IF(ISBLANK(B4),"",M4)</f>
        <v>3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5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0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5</v>
      </c>
      <c r="E55">
        <f t="shared" si="3"/>
        <v>0</v>
      </c>
      <c r="G55">
        <f t="shared" si="4"/>
        <v>0</v>
      </c>
      <c r="I55">
        <f t="shared" si="5"/>
        <v>0</v>
      </c>
      <c r="K55">
        <f t="shared" si="6"/>
        <v>5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4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6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0</v>
      </c>
      <c r="U56" t="str">
        <f t="shared" si="13"/>
        <v/>
      </c>
      <c r="V56" t="str">
        <f t="shared" si="14"/>
        <v/>
      </c>
      <c r="Y56">
        <f t="shared" si="15"/>
        <v>1</v>
      </c>
      <c r="AA56">
        <f t="shared" si="16"/>
        <v>1</v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4</v>
      </c>
      <c r="G57">
        <f t="shared" si="4"/>
        <v>0</v>
      </c>
      <c r="I57">
        <f t="shared" si="5"/>
        <v>0</v>
      </c>
      <c r="K57">
        <f t="shared" si="6"/>
        <v>6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>
        <f t="shared" si="15"/>
        <v>1</v>
      </c>
      <c r="AA57">
        <f t="shared" si="16"/>
        <v>0</v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2</v>
      </c>
      <c r="E58">
        <f t="shared" si="3"/>
        <v>4</v>
      </c>
      <c r="G58">
        <f t="shared" si="4"/>
        <v>0</v>
      </c>
      <c r="I58">
        <f t="shared" si="5"/>
        <v>0</v>
      </c>
      <c r="K58">
        <f t="shared" si="6"/>
        <v>5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4</v>
      </c>
      <c r="C59">
        <f t="shared" si="2"/>
        <v>0</v>
      </c>
      <c r="E59">
        <f t="shared" si="3"/>
        <v>0</v>
      </c>
      <c r="G59">
        <f t="shared" si="4"/>
        <v>0</v>
      </c>
      <c r="I59">
        <f t="shared" si="5"/>
        <v>0</v>
      </c>
      <c r="K59">
        <f t="shared" si="6"/>
        <v>5</v>
      </c>
      <c r="N59">
        <f t="shared" si="7"/>
        <v>1</v>
      </c>
      <c r="O59">
        <f t="shared" si="8"/>
        <v>0</v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>
        <f t="shared" si="15"/>
        <v>1</v>
      </c>
      <c r="AA59">
        <f t="shared" si="16"/>
        <v>1</v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1</v>
      </c>
      <c r="C60">
        <f t="shared" si="2"/>
        <v>0</v>
      </c>
      <c r="E60">
        <f t="shared" si="3"/>
        <v>0</v>
      </c>
      <c r="G60">
        <f t="shared" si="4"/>
        <v>0</v>
      </c>
      <c r="I60">
        <f t="shared" si="5"/>
        <v>0</v>
      </c>
      <c r="K60">
        <f t="shared" si="6"/>
        <v>4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6</v>
      </c>
      <c r="G61">
        <f t="shared" si="4"/>
        <v>0</v>
      </c>
      <c r="I61">
        <f t="shared" si="5"/>
        <v>0</v>
      </c>
      <c r="K61">
        <f t="shared" si="6"/>
        <v>7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1</v>
      </c>
      <c r="C62">
        <f t="shared" si="2"/>
        <v>0</v>
      </c>
      <c r="E62">
        <f t="shared" si="3"/>
        <v>1</v>
      </c>
      <c r="G62">
        <f t="shared" si="4"/>
        <v>0</v>
      </c>
      <c r="I62">
        <f t="shared" si="5"/>
        <v>0</v>
      </c>
      <c r="K62">
        <f t="shared" si="6"/>
        <v>3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>
        <f t="shared" si="15"/>
        <v>1</v>
      </c>
      <c r="AA62">
        <f t="shared" si="16"/>
        <v>1</v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4</v>
      </c>
      <c r="G63">
        <f t="shared" si="4"/>
        <v>0</v>
      </c>
      <c r="I63">
        <f t="shared" si="5"/>
        <v>0</v>
      </c>
      <c r="K63">
        <f t="shared" si="6"/>
        <v>6</v>
      </c>
      <c r="N63">
        <f t="shared" si="7"/>
        <v>1</v>
      </c>
      <c r="O63">
        <f t="shared" si="8"/>
        <v>1</v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0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1</v>
      </c>
      <c r="E64">
        <f t="shared" si="3"/>
        <v>3</v>
      </c>
      <c r="G64">
        <f t="shared" si="4"/>
        <v>0</v>
      </c>
      <c r="I64">
        <f t="shared" si="5"/>
        <v>0</v>
      </c>
      <c r="K64">
        <f t="shared" si="6"/>
        <v>4</v>
      </c>
      <c r="N64">
        <f t="shared" si="7"/>
        <v>1</v>
      </c>
      <c r="O64">
        <f t="shared" si="8"/>
        <v>0</v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6</v>
      </c>
      <c r="G65">
        <f t="shared" si="4"/>
        <v>0</v>
      </c>
      <c r="I65">
        <f t="shared" si="5"/>
        <v>0</v>
      </c>
      <c r="K65">
        <f t="shared" si="6"/>
        <v>7</v>
      </c>
      <c r="N65">
        <f t="shared" si="7"/>
        <v>1</v>
      </c>
      <c r="O65">
        <f t="shared" si="8"/>
        <v>0</v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4</v>
      </c>
      <c r="O66">
        <f>SUM(O54:O65)</f>
        <v>1</v>
      </c>
      <c r="P66">
        <f>SUM(P54:P65)</f>
        <v>0</v>
      </c>
      <c r="Q66">
        <f>SUM(Q54:Q65)</f>
        <v>0</v>
      </c>
      <c r="S66">
        <f>SUM(S54:S65)</f>
        <v>4</v>
      </c>
      <c r="T66">
        <f>SUM(T54:T65)</f>
        <v>2</v>
      </c>
      <c r="U66">
        <f>SUM(U54:U65)</f>
        <v>0</v>
      </c>
      <c r="V66">
        <f>SUM(V54:V65)</f>
        <v>0</v>
      </c>
      <c r="Y66">
        <f>SUM(Y54:Y65)</f>
        <v>5</v>
      </c>
      <c r="AA66">
        <f>SUM(AA54:AA65)</f>
        <v>3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0</v>
      </c>
      <c r="C68">
        <f t="shared" ref="C68:C79" si="20">IF(ISBLANK(B4),"",V4)</f>
        <v>0</v>
      </c>
      <c r="E68">
        <f t="shared" ref="E68:E79" si="21">IF(ISBLANK(B4), "", SUM(F4, I4, M4, P4, R4))</f>
        <v>5</v>
      </c>
      <c r="G68">
        <f>AVERAGE(E68:E79)</f>
        <v>4.583333333333333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5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0</v>
      </c>
      <c r="C70">
        <f t="shared" si="20"/>
        <v>1</v>
      </c>
      <c r="E70">
        <f t="shared" si="21"/>
        <v>4</v>
      </c>
      <c r="I70">
        <f t="shared" si="22"/>
        <v>0</v>
      </c>
      <c r="K70">
        <f t="shared" si="23"/>
        <v>0</v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5</v>
      </c>
      <c r="I71">
        <f t="shared" si="22"/>
        <v>5</v>
      </c>
      <c r="K71">
        <f t="shared" si="23"/>
        <v>4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6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1</v>
      </c>
      <c r="E73">
        <f t="shared" si="21"/>
        <v>4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1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7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1</v>
      </c>
      <c r="E76">
        <f t="shared" si="21"/>
        <v>2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5</v>
      </c>
      <c r="I77">
        <f t="shared" si="22"/>
        <v>6</v>
      </c>
      <c r="K77">
        <f t="shared" si="23"/>
        <v>4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4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7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11</v>
      </c>
      <c r="K80">
        <f>SUM(K68:K79)</f>
        <v>8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7</v>
      </c>
      <c r="C4">
        <v>1</v>
      </c>
      <c r="X4">
        <v>1</v>
      </c>
    </row>
    <row r="5" spans="1:66" x14ac:dyDescent="0.2">
      <c r="A5">
        <v>2</v>
      </c>
      <c r="B5">
        <v>12</v>
      </c>
      <c r="C5">
        <v>1</v>
      </c>
      <c r="K5">
        <v>4</v>
      </c>
      <c r="N5">
        <v>3</v>
      </c>
      <c r="O5">
        <v>2</v>
      </c>
      <c r="P5">
        <v>2</v>
      </c>
      <c r="U5">
        <v>1</v>
      </c>
      <c r="V5">
        <v>1</v>
      </c>
      <c r="W5" t="s">
        <v>186</v>
      </c>
    </row>
    <row r="6" spans="1:66" x14ac:dyDescent="0.2">
      <c r="A6">
        <v>3</v>
      </c>
      <c r="B6">
        <v>26</v>
      </c>
      <c r="G6" t="s">
        <v>185</v>
      </c>
      <c r="H6">
        <v>1</v>
      </c>
      <c r="I6">
        <v>1</v>
      </c>
      <c r="K6">
        <v>1</v>
      </c>
      <c r="X6">
        <v>1</v>
      </c>
    </row>
    <row r="7" spans="1:66" x14ac:dyDescent="0.2">
      <c r="A7">
        <v>4</v>
      </c>
      <c r="B7">
        <v>40</v>
      </c>
      <c r="X7">
        <v>1</v>
      </c>
    </row>
    <row r="8" spans="1:66" x14ac:dyDescent="0.2">
      <c r="A8">
        <v>5</v>
      </c>
      <c r="B8">
        <v>46</v>
      </c>
      <c r="C8">
        <v>1</v>
      </c>
      <c r="K8">
        <v>8</v>
      </c>
      <c r="L8">
        <v>9</v>
      </c>
      <c r="M8">
        <v>9</v>
      </c>
      <c r="X8">
        <v>1</v>
      </c>
    </row>
    <row r="9" spans="1:66" x14ac:dyDescent="0.2">
      <c r="A9">
        <v>6</v>
      </c>
      <c r="B9">
        <v>51</v>
      </c>
      <c r="K9">
        <v>8</v>
      </c>
      <c r="L9">
        <v>8</v>
      </c>
      <c r="M9">
        <v>8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63</v>
      </c>
      <c r="J10">
        <v>1</v>
      </c>
      <c r="K10">
        <v>2</v>
      </c>
      <c r="N10">
        <v>2</v>
      </c>
      <c r="O10">
        <v>2</v>
      </c>
      <c r="P10">
        <v>2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79</v>
      </c>
      <c r="C11">
        <v>1</v>
      </c>
      <c r="G11" t="s">
        <v>185</v>
      </c>
      <c r="H11">
        <v>1</v>
      </c>
      <c r="I11">
        <v>1</v>
      </c>
      <c r="K11">
        <v>10</v>
      </c>
      <c r="L11">
        <v>7</v>
      </c>
      <c r="M11">
        <v>7</v>
      </c>
      <c r="Q11">
        <v>3</v>
      </c>
      <c r="R11">
        <v>3</v>
      </c>
      <c r="S11">
        <v>1</v>
      </c>
      <c r="T11">
        <v>1</v>
      </c>
      <c r="X11">
        <v>1</v>
      </c>
    </row>
    <row r="12" spans="1:66" x14ac:dyDescent="0.2">
      <c r="A12">
        <v>9</v>
      </c>
      <c r="B12">
        <v>86</v>
      </c>
      <c r="D12" t="s">
        <v>185</v>
      </c>
      <c r="E12">
        <v>1</v>
      </c>
      <c r="K12">
        <v>3</v>
      </c>
      <c r="N12">
        <v>3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96</v>
      </c>
      <c r="G13" t="s">
        <v>185</v>
      </c>
      <c r="H13">
        <v>1</v>
      </c>
      <c r="K13">
        <v>8</v>
      </c>
      <c r="L13">
        <v>8</v>
      </c>
      <c r="M13">
        <v>8</v>
      </c>
      <c r="S13">
        <v>1</v>
      </c>
      <c r="T13">
        <v>1</v>
      </c>
      <c r="U13">
        <v>1</v>
      </c>
      <c r="W13" t="s">
        <v>186</v>
      </c>
      <c r="X13">
        <v>1</v>
      </c>
    </row>
    <row r="14" spans="1:66" x14ac:dyDescent="0.2">
      <c r="A14">
        <v>11</v>
      </c>
      <c r="B14">
        <v>116</v>
      </c>
      <c r="K14">
        <v>6</v>
      </c>
      <c r="L14">
        <v>3</v>
      </c>
      <c r="M14">
        <v>3</v>
      </c>
      <c r="O14">
        <v>3</v>
      </c>
      <c r="P14">
        <v>1</v>
      </c>
      <c r="U14">
        <v>1</v>
      </c>
      <c r="V14">
        <v>1</v>
      </c>
      <c r="W14" t="s">
        <v>186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4</v>
      </c>
      <c r="E16">
        <f>SUM(E4:E15)</f>
        <v>1</v>
      </c>
      <c r="F16">
        <f>SUM(F4:F15)</f>
        <v>0</v>
      </c>
      <c r="H16">
        <f t="shared" ref="H16:P16" si="0">SUM(H4:H15)</f>
        <v>3</v>
      </c>
      <c r="I16">
        <f t="shared" si="0"/>
        <v>2</v>
      </c>
      <c r="J16">
        <f t="shared" si="0"/>
        <v>1</v>
      </c>
      <c r="K16">
        <f t="shared" si="0"/>
        <v>50</v>
      </c>
      <c r="L16">
        <f t="shared" si="0"/>
        <v>35</v>
      </c>
      <c r="M16">
        <f t="shared" si="0"/>
        <v>35</v>
      </c>
      <c r="N16">
        <f t="shared" si="0"/>
        <v>8</v>
      </c>
      <c r="O16">
        <f t="shared" si="0"/>
        <v>7</v>
      </c>
      <c r="P16">
        <f t="shared" si="0"/>
        <v>5</v>
      </c>
      <c r="Q16">
        <f>SUM(Q4:Q15)</f>
        <v>3</v>
      </c>
      <c r="R16">
        <f>SUM(R4:R15)</f>
        <v>3</v>
      </c>
      <c r="S16">
        <f>SUM(S4:S15)</f>
        <v>5</v>
      </c>
      <c r="T16">
        <v>0</v>
      </c>
      <c r="U16">
        <f>SUM(U4:U15)</f>
        <v>3</v>
      </c>
      <c r="V16">
        <f>SUM(V4:V15)</f>
        <v>2</v>
      </c>
      <c r="W16">
        <f>SUM(W4:W15)</f>
        <v>0</v>
      </c>
      <c r="X16">
        <f>SUM(X4:X15)</f>
        <v>9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11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0.66666666666666663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0.7142857142857143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>
        <f>O66/N66</f>
        <v>0</v>
      </c>
      <c r="F22">
        <f>T66/S66</f>
        <v>0.66666666666666663</v>
      </c>
      <c r="I22" t="s">
        <v>23</v>
      </c>
      <c r="N22">
        <f>AVERAGE(I54:I65)</f>
        <v>9.0909090909090912E-2</v>
      </c>
      <c r="O22">
        <f>MEDIAN(I54:I65)</f>
        <v>0</v>
      </c>
      <c r="P22">
        <f>MAX(I54:I65)</f>
        <v>1</v>
      </c>
      <c r="Q22">
        <f>_xlfn.STDEV.S(I54:I65)</f>
        <v>0.30151134457776363</v>
      </c>
      <c r="S22">
        <f>V16/U16</f>
        <v>0.66666666666666663</v>
      </c>
      <c r="U22">
        <f>AA66/Y66</f>
        <v>0.66666666666666663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 t="e">
        <f>V66/U66</f>
        <v>#DIV/0!</v>
      </c>
      <c r="I24">
        <f>AVERAGE(A54:A65)</f>
        <v>0.45454545454545453</v>
      </c>
      <c r="J24">
        <f>MAX(A54:A65)</f>
        <v>2</v>
      </c>
      <c r="K24">
        <f>_xlfn.STDEV.S(A54:A65)</f>
        <v>0.82019953226472431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0.18181818181818182</v>
      </c>
      <c r="U24" t="e">
        <f>AE66/AC66</f>
        <v>#DIV/0!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4.5454545454545459</v>
      </c>
      <c r="O25">
        <f>MEDIAN(K54:K65)</f>
        <v>4</v>
      </c>
      <c r="P25">
        <f>MAX(K54:K65)</f>
        <v>10</v>
      </c>
      <c r="Q25">
        <f>_xlfn.STDEV.S(K54:K65)</f>
        <v>3.6156226673599767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0.18181818181818182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1.9607843137254902E-2</v>
      </c>
    </row>
    <row r="29" spans="1:66" x14ac:dyDescent="0.2">
      <c r="D29">
        <f>_xlfn.STDEV.S(A68:A79)</f>
        <v>0.57735026918962584</v>
      </c>
      <c r="I29">
        <f>AVERAGE(C54:C65)</f>
        <v>0.27272727272727271</v>
      </c>
      <c r="J29">
        <f>MAX(C54:C65)</f>
        <v>3</v>
      </c>
      <c r="K29">
        <f>_xlfn.STDEV.S(C54:C65)</f>
        <v>0.90453403373329089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0.98039215686274506</v>
      </c>
      <c r="S30">
        <f>_xlfn.STDEV.S(C68:C79)</f>
        <v>0.40451991747794525</v>
      </c>
    </row>
    <row r="31" spans="1:66" x14ac:dyDescent="0.2">
      <c r="D31" t="s">
        <v>179</v>
      </c>
      <c r="F31" t="s">
        <v>180</v>
      </c>
      <c r="I31">
        <f>M16/L16</f>
        <v>1</v>
      </c>
      <c r="L31">
        <f>K80/I80</f>
        <v>1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3.1818181818181817</v>
      </c>
      <c r="J34">
        <f>MAX(E54:E65)</f>
        <v>9</v>
      </c>
      <c r="K34">
        <f>_xlfn.STDEV.S(E54:E65)</f>
        <v>3.9450774851245143</v>
      </c>
      <c r="L34">
        <f>AVERAGE(K68:K79)</f>
        <v>4</v>
      </c>
      <c r="M34">
        <f>MAX(K68:K79)</f>
        <v>9</v>
      </c>
      <c r="N34">
        <f>_xlfn.STDEV.S(K68:K79)</f>
        <v>4.6904157598234297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0.72727272727272729</v>
      </c>
      <c r="J37">
        <f>MAX(G54:G65)</f>
        <v>3</v>
      </c>
      <c r="K37">
        <f>_xlfn.STDEV.S(G54:G65)</f>
        <v>1.2720777563426766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2</v>
      </c>
      <c r="C55">
        <f t="shared" si="2"/>
        <v>0</v>
      </c>
      <c r="E55">
        <f t="shared" si="3"/>
        <v>0</v>
      </c>
      <c r="G55">
        <f t="shared" si="4"/>
        <v>3</v>
      </c>
      <c r="I55">
        <f t="shared" si="5"/>
        <v>0</v>
      </c>
      <c r="K55">
        <f t="shared" si="6"/>
        <v>4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>
        <f t="shared" si="15"/>
        <v>1</v>
      </c>
      <c r="AA55">
        <f t="shared" si="16"/>
        <v>1</v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0</v>
      </c>
      <c r="I56">
        <f t="shared" si="5"/>
        <v>0</v>
      </c>
      <c r="K56">
        <f t="shared" si="6"/>
        <v>1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>
        <f t="shared" si="11"/>
        <v>1</v>
      </c>
      <c r="T56">
        <f t="shared" si="12"/>
        <v>1</v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0</v>
      </c>
      <c r="E57">
        <f t="shared" si="3"/>
        <v>0</v>
      </c>
      <c r="G57">
        <f t="shared" si="4"/>
        <v>0</v>
      </c>
      <c r="I57">
        <f t="shared" si="5"/>
        <v>0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9</v>
      </c>
      <c r="G58">
        <f t="shared" si="4"/>
        <v>0</v>
      </c>
      <c r="I58">
        <f t="shared" si="5"/>
        <v>0</v>
      </c>
      <c r="K58">
        <f t="shared" si="6"/>
        <v>8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8</v>
      </c>
      <c r="G59">
        <f t="shared" si="4"/>
        <v>0</v>
      </c>
      <c r="I59">
        <f t="shared" si="5"/>
        <v>0</v>
      </c>
      <c r="K59">
        <f t="shared" si="6"/>
        <v>8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2</v>
      </c>
      <c r="C60">
        <f t="shared" si="2"/>
        <v>0</v>
      </c>
      <c r="E60">
        <f t="shared" si="3"/>
        <v>0</v>
      </c>
      <c r="G60">
        <f t="shared" si="4"/>
        <v>2</v>
      </c>
      <c r="I60">
        <f t="shared" si="5"/>
        <v>1</v>
      </c>
      <c r="K60">
        <f t="shared" si="6"/>
        <v>2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3</v>
      </c>
      <c r="E61">
        <f t="shared" si="3"/>
        <v>7</v>
      </c>
      <c r="G61">
        <f t="shared" si="4"/>
        <v>0</v>
      </c>
      <c r="I61">
        <f t="shared" si="5"/>
        <v>0</v>
      </c>
      <c r="K61">
        <f t="shared" si="6"/>
        <v>10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0</v>
      </c>
      <c r="G62">
        <f t="shared" si="4"/>
        <v>3</v>
      </c>
      <c r="I62">
        <f t="shared" si="5"/>
        <v>0</v>
      </c>
      <c r="K62">
        <f t="shared" si="6"/>
        <v>3</v>
      </c>
      <c r="N62">
        <f t="shared" si="7"/>
        <v>1</v>
      </c>
      <c r="O62">
        <f t="shared" si="8"/>
        <v>0</v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8</v>
      </c>
      <c r="G63">
        <f t="shared" si="4"/>
        <v>0</v>
      </c>
      <c r="I63">
        <f t="shared" si="5"/>
        <v>0</v>
      </c>
      <c r="K63">
        <f t="shared" si="6"/>
        <v>8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0</v>
      </c>
      <c r="U63" t="str">
        <f t="shared" si="13"/>
        <v/>
      </c>
      <c r="V63" t="str">
        <f t="shared" si="14"/>
        <v/>
      </c>
      <c r="Y63">
        <f t="shared" si="15"/>
        <v>1</v>
      </c>
      <c r="AA63">
        <f t="shared" si="16"/>
        <v>0</v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1</v>
      </c>
      <c r="C64">
        <f t="shared" si="2"/>
        <v>0</v>
      </c>
      <c r="E64">
        <f t="shared" si="3"/>
        <v>3</v>
      </c>
      <c r="G64">
        <f t="shared" si="4"/>
        <v>0</v>
      </c>
      <c r="I64">
        <f t="shared" si="5"/>
        <v>0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>
        <f t="shared" si="15"/>
        <v>1</v>
      </c>
      <c r="AA64">
        <f t="shared" si="16"/>
        <v>1</v>
      </c>
      <c r="AC64" t="str">
        <f t="shared" si="17"/>
        <v/>
      </c>
      <c r="AE64" t="str">
        <f t="shared" si="18"/>
        <v/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1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2</v>
      </c>
      <c r="U66">
        <f>SUM(U54:U65)</f>
        <v>0</v>
      </c>
      <c r="V66">
        <f>SUM(V54:V65)</f>
        <v>0</v>
      </c>
      <c r="Y66">
        <f>SUM(Y54:Y65)</f>
        <v>3</v>
      </c>
      <c r="AA66">
        <f>SUM(AA54:AA65)</f>
        <v>2</v>
      </c>
      <c r="AC66">
        <f>SUM(AC54:AC65)</f>
        <v>0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0</v>
      </c>
      <c r="G68">
        <f>AVERAGE(E68:E79)</f>
        <v>4.0909090909090908</v>
      </c>
      <c r="I68">
        <f>IF(ISBLANK(B4)+ISBLANK(C4), "", L4)</f>
        <v>0</v>
      </c>
      <c r="K68">
        <f>IF(ISBLANK(B4)+ISBLANK(C4), "", M4)</f>
        <v>0</v>
      </c>
    </row>
    <row r="69" spans="1:31" x14ac:dyDescent="0.2">
      <c r="A69" t="str">
        <f t="shared" si="19"/>
        <v/>
      </c>
      <c r="C69">
        <f t="shared" si="20"/>
        <v>1</v>
      </c>
      <c r="E69">
        <f t="shared" si="21"/>
        <v>2</v>
      </c>
      <c r="I69">
        <f t="shared" ref="I69:I79" si="22">IF(ISBLANK(B5)+ISBLANK(C5), "", L5)</f>
        <v>0</v>
      </c>
      <c r="K69">
        <f t="shared" ref="K69:K79" si="23">IF(ISBLANK(B5)+ISBLANK(C5), "", M5)</f>
        <v>0</v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1</v>
      </c>
      <c r="I70" t="str">
        <f t="shared" si="22"/>
        <v/>
      </c>
      <c r="K70" t="str">
        <f t="shared" si="23"/>
        <v/>
      </c>
    </row>
    <row r="71" spans="1:31" x14ac:dyDescent="0.2">
      <c r="A71" t="str">
        <f t="shared" si="19"/>
        <v/>
      </c>
      <c r="C71">
        <f t="shared" si="20"/>
        <v>0</v>
      </c>
      <c r="E71">
        <f t="shared" si="21"/>
        <v>0</v>
      </c>
      <c r="I71" t="str">
        <f t="shared" si="22"/>
        <v/>
      </c>
      <c r="K71" t="str">
        <f t="shared" si="23"/>
        <v/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9</v>
      </c>
      <c r="I72">
        <f t="shared" si="22"/>
        <v>9</v>
      </c>
      <c r="K72">
        <f t="shared" si="23"/>
        <v>9</v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8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2</v>
      </c>
      <c r="I74" t="str">
        <f t="shared" si="22"/>
        <v/>
      </c>
      <c r="K74" t="str">
        <f t="shared" si="23"/>
        <v/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11</v>
      </c>
      <c r="I75">
        <f t="shared" si="22"/>
        <v>7</v>
      </c>
      <c r="K75">
        <f t="shared" si="23"/>
        <v>7</v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0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0</v>
      </c>
      <c r="C77">
        <f t="shared" si="20"/>
        <v>0</v>
      </c>
      <c r="E77">
        <f t="shared" si="21"/>
        <v>8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1</v>
      </c>
      <c r="E78">
        <f t="shared" si="21"/>
        <v>4</v>
      </c>
      <c r="I78" t="str">
        <f t="shared" si="22"/>
        <v/>
      </c>
      <c r="K78" t="str">
        <f t="shared" si="23"/>
        <v/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16</v>
      </c>
      <c r="K80">
        <f>SUM(K68:K79)</f>
        <v>16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N94"/>
  <sheetViews>
    <sheetView workbookViewId="0">
      <selection activeCell="B1" sqref="B1"/>
    </sheetView>
  </sheetViews>
  <sheetFormatPr baseColWidth="10" defaultColWidth="8.83203125" defaultRowHeight="15" x14ac:dyDescent="0.2"/>
  <cols>
    <col min="2" max="2" width="8.16406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3</v>
      </c>
      <c r="G4" t="s">
        <v>185</v>
      </c>
      <c r="H4">
        <v>1</v>
      </c>
      <c r="I4">
        <v>1</v>
      </c>
      <c r="J4">
        <v>5</v>
      </c>
      <c r="N4">
        <v>3</v>
      </c>
      <c r="U4">
        <v>1</v>
      </c>
      <c r="V4">
        <v>1</v>
      </c>
      <c r="W4" t="s">
        <v>189</v>
      </c>
    </row>
    <row r="5" spans="1:66" x14ac:dyDescent="0.2">
      <c r="A5">
        <v>2</v>
      </c>
      <c r="B5">
        <v>19</v>
      </c>
      <c r="D5" t="s">
        <v>188</v>
      </c>
      <c r="E5">
        <v>1</v>
      </c>
      <c r="J5">
        <v>3</v>
      </c>
      <c r="N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36</v>
      </c>
      <c r="J6">
        <v>3</v>
      </c>
      <c r="N6">
        <v>3</v>
      </c>
      <c r="X6">
        <v>1</v>
      </c>
    </row>
    <row r="7" spans="1:66" x14ac:dyDescent="0.2">
      <c r="A7">
        <v>4</v>
      </c>
      <c r="B7">
        <v>43</v>
      </c>
      <c r="C7">
        <v>1</v>
      </c>
      <c r="G7" t="s">
        <v>185</v>
      </c>
      <c r="H7">
        <v>1</v>
      </c>
      <c r="J7">
        <v>6</v>
      </c>
      <c r="N7">
        <v>5</v>
      </c>
      <c r="Q7">
        <v>1</v>
      </c>
      <c r="R7">
        <v>1</v>
      </c>
      <c r="S7">
        <v>1</v>
      </c>
      <c r="T7">
        <v>1</v>
      </c>
      <c r="X7">
        <v>1</v>
      </c>
    </row>
    <row r="8" spans="1:66" x14ac:dyDescent="0.2">
      <c r="A8">
        <v>5</v>
      </c>
      <c r="B8">
        <v>52</v>
      </c>
      <c r="C8">
        <v>1</v>
      </c>
      <c r="J8">
        <v>5</v>
      </c>
      <c r="N8">
        <v>4</v>
      </c>
      <c r="S8">
        <v>1</v>
      </c>
      <c r="T8">
        <v>1</v>
      </c>
      <c r="X8">
        <v>1</v>
      </c>
    </row>
    <row r="9" spans="1:66" x14ac:dyDescent="0.2">
      <c r="A9">
        <v>6</v>
      </c>
      <c r="B9">
        <v>67</v>
      </c>
      <c r="G9" t="s">
        <v>185</v>
      </c>
      <c r="H9">
        <v>1</v>
      </c>
      <c r="J9">
        <v>6</v>
      </c>
      <c r="N9">
        <v>5</v>
      </c>
      <c r="U9">
        <v>1</v>
      </c>
      <c r="W9" t="s">
        <v>189</v>
      </c>
      <c r="X9">
        <v>1</v>
      </c>
    </row>
    <row r="10" spans="1:66" x14ac:dyDescent="0.2">
      <c r="A10">
        <v>7</v>
      </c>
      <c r="B10">
        <v>72</v>
      </c>
      <c r="C10">
        <v>1</v>
      </c>
      <c r="J10">
        <v>6</v>
      </c>
      <c r="N10">
        <v>5</v>
      </c>
      <c r="S10">
        <v>1</v>
      </c>
      <c r="T10">
        <v>1</v>
      </c>
      <c r="X10">
        <v>1</v>
      </c>
    </row>
    <row r="11" spans="1:66" x14ac:dyDescent="0.2">
      <c r="A11">
        <v>8</v>
      </c>
      <c r="B11">
        <v>85</v>
      </c>
      <c r="G11" t="s">
        <v>185</v>
      </c>
      <c r="H11">
        <v>1</v>
      </c>
      <c r="I11">
        <v>1</v>
      </c>
      <c r="J11">
        <v>2</v>
      </c>
      <c r="S11">
        <v>1</v>
      </c>
      <c r="T11">
        <v>1</v>
      </c>
      <c r="U11">
        <v>1</v>
      </c>
      <c r="W11" t="s">
        <v>186</v>
      </c>
      <c r="X11">
        <v>1</v>
      </c>
    </row>
    <row r="12" spans="1:66" x14ac:dyDescent="0.2">
      <c r="A12">
        <v>9</v>
      </c>
      <c r="B12">
        <v>99</v>
      </c>
      <c r="G12" t="s">
        <v>185</v>
      </c>
      <c r="H12">
        <v>1</v>
      </c>
      <c r="I12">
        <v>1</v>
      </c>
      <c r="J12">
        <v>3</v>
      </c>
      <c r="N12">
        <v>3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104</v>
      </c>
      <c r="G13" t="s">
        <v>185</v>
      </c>
      <c r="H13">
        <v>1</v>
      </c>
      <c r="Q13">
        <v>1</v>
      </c>
      <c r="R13">
        <v>1</v>
      </c>
      <c r="X13">
        <v>1</v>
      </c>
    </row>
    <row r="14" spans="1:66" x14ac:dyDescent="0.2">
      <c r="A14">
        <v>11</v>
      </c>
      <c r="B14">
        <v>112</v>
      </c>
      <c r="C14">
        <v>1</v>
      </c>
      <c r="J14">
        <v>4</v>
      </c>
      <c r="N14">
        <v>3</v>
      </c>
      <c r="S14">
        <v>1</v>
      </c>
      <c r="T14">
        <v>1</v>
      </c>
      <c r="X14">
        <v>1</v>
      </c>
    </row>
    <row r="15" spans="1:66" x14ac:dyDescent="0.2">
      <c r="A15">
        <v>12</v>
      </c>
    </row>
    <row r="16" spans="1:66" x14ac:dyDescent="0.2">
      <c r="A16" t="s">
        <v>8</v>
      </c>
      <c r="C16">
        <f>SUM(C4:C15)</f>
        <v>4</v>
      </c>
      <c r="E16">
        <f>SUM(E4:E15)</f>
        <v>1</v>
      </c>
      <c r="F16">
        <f>SUM(F4:F15)</f>
        <v>0</v>
      </c>
      <c r="H16">
        <f t="shared" ref="H16:P16" si="0">SUM(H4:H15)</f>
        <v>6</v>
      </c>
      <c r="I16">
        <f t="shared" si="0"/>
        <v>3</v>
      </c>
      <c r="J16">
        <f t="shared" si="0"/>
        <v>43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33</v>
      </c>
      <c r="O16">
        <f t="shared" si="0"/>
        <v>0</v>
      </c>
      <c r="P16">
        <f t="shared" si="0"/>
        <v>0</v>
      </c>
      <c r="Q16">
        <f>SUM(Q4:Q15)</f>
        <v>2</v>
      </c>
      <c r="R16">
        <f>SUM(R4:R15)</f>
        <v>2</v>
      </c>
      <c r="S16">
        <f>SUM(S4:S15)</f>
        <v>7</v>
      </c>
      <c r="T16">
        <v>0</v>
      </c>
      <c r="U16">
        <f>SUM(U4:U15)</f>
        <v>3</v>
      </c>
      <c r="V16">
        <f>SUM(V4:V15)</f>
        <v>1</v>
      </c>
      <c r="W16">
        <f>SUM(W4:W15)</f>
        <v>0</v>
      </c>
      <c r="X16">
        <f>SUM(X4:X15)</f>
        <v>10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11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>
        <f>COUNT(F4:F15)/COUNT(E4:E15)</f>
        <v>0</v>
      </c>
      <c r="F20">
        <f>COUNT(I4:I15)/COUNT(H4:H15)</f>
        <v>0.5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0.5</v>
      </c>
      <c r="I22" t="s">
        <v>23</v>
      </c>
      <c r="N22">
        <f>AVERAGE(I54:I65)</f>
        <v>3.9090909090909092</v>
      </c>
      <c r="O22">
        <f>MEDIAN(I54:I65)</f>
        <v>4</v>
      </c>
      <c r="P22">
        <f>MAX(I54:I65)</f>
        <v>6</v>
      </c>
      <c r="Q22">
        <f>_xlfn.STDEV.S(I54:I65)</f>
        <v>1.9211738835693897</v>
      </c>
      <c r="S22">
        <f>V16/U16</f>
        <v>0.33333333333333331</v>
      </c>
      <c r="U22">
        <f>AA66/Y66</f>
        <v>0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>
        <f>Q66/P66</f>
        <v>0</v>
      </c>
      <c r="F24" t="e">
        <f>V66/U66</f>
        <v>#DIV/0!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9.0909090909090912E-2</v>
      </c>
      <c r="U24">
        <f>AE66/AC66</f>
        <v>0.5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0</v>
      </c>
      <c r="O25">
        <f>MEDIAN(K54:K65)</f>
        <v>0</v>
      </c>
      <c r="P25">
        <f>MAX(K54:K65)</f>
        <v>0</v>
      </c>
      <c r="Q25">
        <f>_xlfn.STDEV.S(K54:K65)</f>
        <v>0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0.27272727272727271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1</v>
      </c>
    </row>
    <row r="29" spans="1:66" x14ac:dyDescent="0.2">
      <c r="D29">
        <f>_xlfn.STDEV.S(A68:A79)</f>
        <v>0.54772255750516607</v>
      </c>
      <c r="I29">
        <f>AVERAGE(C54:C65)</f>
        <v>0.18181818181818182</v>
      </c>
      <c r="J29">
        <f>MAX(C54:C65)</f>
        <v>1</v>
      </c>
      <c r="K29">
        <f>_xlfn.STDEV.S(C54:C65)</f>
        <v>0.40451991747794525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</v>
      </c>
      <c r="S30">
        <f>_xlfn.STDEV.S(C68:C79)</f>
        <v>0.30151134457776363</v>
      </c>
    </row>
    <row r="31" spans="1:66" x14ac:dyDescent="0.2">
      <c r="D31" t="s">
        <v>179</v>
      </c>
      <c r="F31" t="s">
        <v>180</v>
      </c>
      <c r="I31" t="e">
        <f>M16/L16</f>
        <v>#DIV/0!</v>
      </c>
      <c r="L31" t="e">
        <f>K80/I80</f>
        <v>#DIV/0!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0</v>
      </c>
      <c r="J34">
        <f>MAX(E54:E65)</f>
        <v>0</v>
      </c>
      <c r="K34">
        <f>_xlfn.STDEV.S(E54:E65)</f>
        <v>0</v>
      </c>
      <c r="L34">
        <f>AVERAGE(K68:K79)</f>
        <v>0</v>
      </c>
      <c r="M34">
        <f>MAX(K68:K79)</f>
        <v>0</v>
      </c>
      <c r="N34">
        <f>_xlfn.STDEV.S(K68:K79)</f>
        <v>0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3</v>
      </c>
      <c r="J37">
        <f>MAX(G54:G65)</f>
        <v>5</v>
      </c>
      <c r="K37">
        <f>_xlfn.STDEV.S(G54:G65)</f>
        <v>1.7888543819998317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3</v>
      </c>
      <c r="I54">
        <f t="shared" ref="I54:I65" si="5">IF(ISBLANK(B4),"",J4)</f>
        <v>5</v>
      </c>
      <c r="K54">
        <f t="shared" ref="K54:K65" si="6">IF(ISBLANK(B4),"",K4)</f>
        <v>0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>
        <f t="shared" ref="S54:S65" si="11">IF($G4="d", $H4, "")</f>
        <v>1</v>
      </c>
      <c r="T54">
        <f t="shared" ref="T54:T65" si="12">IF($G4="d", $I4, "")</f>
        <v>1</v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>
        <f t="shared" ref="AC54:AC65" si="17">IF(ISBLANK(B4),"",IF(W4="o",U4,""))</f>
        <v>1</v>
      </c>
      <c r="AE54">
        <f t="shared" ref="AE54:AE65" si="18">IF(ISBLANK(B4),"",IF(W4="o",V4,""))</f>
        <v>1</v>
      </c>
    </row>
    <row r="55" spans="1:44" x14ac:dyDescent="0.2">
      <c r="A55">
        <f t="shared" si="1"/>
        <v>0</v>
      </c>
      <c r="C55">
        <f t="shared" si="2"/>
        <v>0</v>
      </c>
      <c r="E55">
        <f t="shared" si="3"/>
        <v>0</v>
      </c>
      <c r="G55">
        <f t="shared" si="4"/>
        <v>2</v>
      </c>
      <c r="I55">
        <f t="shared" si="5"/>
        <v>3</v>
      </c>
      <c r="K55">
        <f t="shared" si="6"/>
        <v>0</v>
      </c>
      <c r="N55" t="str">
        <f t="shared" si="7"/>
        <v/>
      </c>
      <c r="O55" t="str">
        <f t="shared" si="8"/>
        <v/>
      </c>
      <c r="P55">
        <f t="shared" si="9"/>
        <v>1</v>
      </c>
      <c r="Q55">
        <f t="shared" si="10"/>
        <v>0</v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0</v>
      </c>
      <c r="E56">
        <f t="shared" si="3"/>
        <v>0</v>
      </c>
      <c r="G56">
        <f t="shared" si="4"/>
        <v>3</v>
      </c>
      <c r="I56">
        <f t="shared" si="5"/>
        <v>3</v>
      </c>
      <c r="K56">
        <f t="shared" si="6"/>
        <v>0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1</v>
      </c>
      <c r="E57">
        <f t="shared" si="3"/>
        <v>0</v>
      </c>
      <c r="G57">
        <f t="shared" si="4"/>
        <v>5</v>
      </c>
      <c r="I57">
        <f t="shared" si="5"/>
        <v>6</v>
      </c>
      <c r="K57">
        <f t="shared" si="6"/>
        <v>0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0</v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0</v>
      </c>
      <c r="E58">
        <f t="shared" si="3"/>
        <v>0</v>
      </c>
      <c r="G58">
        <f t="shared" si="4"/>
        <v>4</v>
      </c>
      <c r="I58">
        <f t="shared" si="5"/>
        <v>5</v>
      </c>
      <c r="K58">
        <f t="shared" si="6"/>
        <v>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0</v>
      </c>
      <c r="E59">
        <f t="shared" si="3"/>
        <v>0</v>
      </c>
      <c r="G59">
        <f t="shared" si="4"/>
        <v>5</v>
      </c>
      <c r="I59">
        <f t="shared" si="5"/>
        <v>6</v>
      </c>
      <c r="K59">
        <f t="shared" si="6"/>
        <v>0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0</v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>
        <f t="shared" si="17"/>
        <v>1</v>
      </c>
      <c r="AE59">
        <f t="shared" si="18"/>
        <v>0</v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0</v>
      </c>
      <c r="G60">
        <f t="shared" si="4"/>
        <v>5</v>
      </c>
      <c r="I60">
        <f t="shared" si="5"/>
        <v>6</v>
      </c>
      <c r="K60">
        <f t="shared" si="6"/>
        <v>0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0</v>
      </c>
      <c r="G61">
        <f t="shared" si="4"/>
        <v>0</v>
      </c>
      <c r="I61">
        <f t="shared" si="5"/>
        <v>2</v>
      </c>
      <c r="K61">
        <f t="shared" si="6"/>
        <v>0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>
        <f t="shared" si="15"/>
        <v>1</v>
      </c>
      <c r="AA61">
        <f t="shared" si="16"/>
        <v>0</v>
      </c>
      <c r="AC61" t="str">
        <f t="shared" si="17"/>
        <v/>
      </c>
      <c r="AE61" t="str">
        <f t="shared" si="18"/>
        <v/>
      </c>
    </row>
    <row r="62" spans="1:44" x14ac:dyDescent="0.2">
      <c r="A62">
        <f t="shared" si="1"/>
        <v>0</v>
      </c>
      <c r="C62">
        <f t="shared" si="2"/>
        <v>0</v>
      </c>
      <c r="E62">
        <f t="shared" si="3"/>
        <v>0</v>
      </c>
      <c r="G62">
        <f t="shared" si="4"/>
        <v>3</v>
      </c>
      <c r="I62">
        <f t="shared" si="5"/>
        <v>3</v>
      </c>
      <c r="K62">
        <f t="shared" si="6"/>
        <v>0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>
        <f t="shared" si="11"/>
        <v>1</v>
      </c>
      <c r="T62">
        <f t="shared" si="12"/>
        <v>1</v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1</v>
      </c>
      <c r="E63">
        <f t="shared" si="3"/>
        <v>0</v>
      </c>
      <c r="G63">
        <f t="shared" si="4"/>
        <v>0</v>
      </c>
      <c r="I63">
        <f t="shared" si="5"/>
        <v>0</v>
      </c>
      <c r="K63">
        <f t="shared" si="6"/>
        <v>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>
        <f t="shared" si="11"/>
        <v>1</v>
      </c>
      <c r="T63">
        <f t="shared" si="12"/>
        <v>0</v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0</v>
      </c>
      <c r="G64">
        <f t="shared" si="4"/>
        <v>3</v>
      </c>
      <c r="I64">
        <f t="shared" si="5"/>
        <v>4</v>
      </c>
      <c r="K64">
        <f t="shared" si="6"/>
        <v>0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 t="str">
        <f t="shared" si="1"/>
        <v/>
      </c>
      <c r="C65" t="str">
        <f t="shared" si="2"/>
        <v/>
      </c>
      <c r="E65" t="str">
        <f t="shared" si="3"/>
        <v/>
      </c>
      <c r="G65" t="str">
        <f t="shared" si="4"/>
        <v/>
      </c>
      <c r="I65" t="str">
        <f t="shared" si="5"/>
        <v/>
      </c>
      <c r="K65" t="str">
        <f t="shared" si="6"/>
        <v/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1</v>
      </c>
      <c r="Q66">
        <f>SUM(Q54:Q65)</f>
        <v>0</v>
      </c>
      <c r="S66">
        <f>SUM(S54:S65)</f>
        <v>6</v>
      </c>
      <c r="T66">
        <f>SUM(T54:T65)</f>
        <v>3</v>
      </c>
      <c r="U66">
        <f>SUM(U54:U65)</f>
        <v>0</v>
      </c>
      <c r="V66">
        <f>SUM(V54:V65)</f>
        <v>0</v>
      </c>
      <c r="Y66">
        <f>SUM(Y54:Y65)</f>
        <v>1</v>
      </c>
      <c r="AA66">
        <f>SUM(AA54:AA65)</f>
        <v>0</v>
      </c>
      <c r="AC66">
        <f>SUM(AC54:AC65)</f>
        <v>2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>
        <f t="shared" ref="A68:A79" si="19">IF(ISBLANK(H4), "", I4)</f>
        <v>1</v>
      </c>
      <c r="C68">
        <f t="shared" ref="C68:C79" si="20">IF(ISBLANK(B4),"",V4)</f>
        <v>1</v>
      </c>
      <c r="E68">
        <f t="shared" ref="E68:E79" si="21">IF(ISBLANK(B4), "", SUM(F4, I4, M4, P4, R4))</f>
        <v>1</v>
      </c>
      <c r="G68">
        <f>AVERAGE(E68:E79)</f>
        <v>0.45454545454545453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0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0</v>
      </c>
      <c r="E70">
        <f t="shared" si="21"/>
        <v>0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0</v>
      </c>
      <c r="C71">
        <f t="shared" si="20"/>
        <v>0</v>
      </c>
      <c r="E71">
        <f t="shared" si="21"/>
        <v>1</v>
      </c>
      <c r="I71">
        <f t="shared" si="22"/>
        <v>0</v>
      </c>
      <c r="K71">
        <f t="shared" si="23"/>
        <v>0</v>
      </c>
    </row>
    <row r="72" spans="1:31" x14ac:dyDescent="0.2">
      <c r="A72" t="str">
        <f t="shared" si="19"/>
        <v/>
      </c>
      <c r="C72">
        <f t="shared" si="20"/>
        <v>0</v>
      </c>
      <c r="E72">
        <f t="shared" si="21"/>
        <v>0</v>
      </c>
      <c r="I72">
        <f t="shared" si="22"/>
        <v>0</v>
      </c>
      <c r="K72">
        <f t="shared" si="23"/>
        <v>0</v>
      </c>
    </row>
    <row r="73" spans="1:31" x14ac:dyDescent="0.2">
      <c r="A73">
        <f t="shared" si="19"/>
        <v>0</v>
      </c>
      <c r="C73">
        <f t="shared" si="20"/>
        <v>0</v>
      </c>
      <c r="E73">
        <f t="shared" si="21"/>
        <v>0</v>
      </c>
      <c r="I73" t="str">
        <f t="shared" si="22"/>
        <v/>
      </c>
      <c r="K73" t="str">
        <f t="shared" si="23"/>
        <v/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0</v>
      </c>
      <c r="I74">
        <f t="shared" si="22"/>
        <v>0</v>
      </c>
      <c r="K74">
        <f t="shared" si="23"/>
        <v>0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1</v>
      </c>
      <c r="I75" t="str">
        <f t="shared" si="22"/>
        <v/>
      </c>
      <c r="K75" t="str">
        <f t="shared" si="23"/>
        <v/>
      </c>
    </row>
    <row r="76" spans="1:31" x14ac:dyDescent="0.2">
      <c r="A76">
        <f t="shared" si="19"/>
        <v>1</v>
      </c>
      <c r="C76">
        <f t="shared" si="20"/>
        <v>0</v>
      </c>
      <c r="E76">
        <f t="shared" si="21"/>
        <v>1</v>
      </c>
      <c r="I76" t="str">
        <f t="shared" si="22"/>
        <v/>
      </c>
      <c r="K76" t="str">
        <f t="shared" si="23"/>
        <v/>
      </c>
    </row>
    <row r="77" spans="1:31" x14ac:dyDescent="0.2">
      <c r="A77">
        <f t="shared" si="19"/>
        <v>0</v>
      </c>
      <c r="C77">
        <f t="shared" si="20"/>
        <v>0</v>
      </c>
      <c r="E77">
        <f t="shared" si="21"/>
        <v>1</v>
      </c>
      <c r="I77" t="str">
        <f t="shared" si="22"/>
        <v/>
      </c>
      <c r="K77" t="str">
        <f t="shared" si="23"/>
        <v/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0</v>
      </c>
      <c r="I78">
        <f t="shared" si="22"/>
        <v>0</v>
      </c>
      <c r="K78">
        <f t="shared" si="23"/>
        <v>0</v>
      </c>
    </row>
    <row r="79" spans="1:31" x14ac:dyDescent="0.2">
      <c r="A79" t="str">
        <f t="shared" si="19"/>
        <v/>
      </c>
      <c r="C79" t="str">
        <f t="shared" si="20"/>
        <v/>
      </c>
      <c r="E79" t="str">
        <f t="shared" si="21"/>
        <v/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0</v>
      </c>
      <c r="K80">
        <f>SUM(K68:K79)</f>
        <v>0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N94"/>
  <sheetViews>
    <sheetView workbookViewId="0">
      <selection activeCell="A2" sqref="A2"/>
    </sheetView>
  </sheetViews>
  <sheetFormatPr baseColWidth="10" defaultColWidth="8.83203125" defaultRowHeight="15" x14ac:dyDescent="0.2"/>
  <cols>
    <col min="2" max="2" width="7.83203125" customWidth="1"/>
    <col min="3" max="3" width="9.5" customWidth="1"/>
    <col min="4" max="4" width="12.83203125" customWidth="1"/>
    <col min="5" max="5" width="11.33203125" customWidth="1"/>
    <col min="6" max="6" width="10.33203125" customWidth="1"/>
    <col min="7" max="7" width="13.83203125" customWidth="1"/>
    <col min="8" max="8" width="12.83203125" customWidth="1"/>
    <col min="9" max="9" width="11.5" customWidth="1"/>
    <col min="10" max="10" width="14.6640625" customWidth="1"/>
    <col min="11" max="11" width="13.6640625" customWidth="1"/>
    <col min="12" max="13" width="11.83203125" customWidth="1"/>
    <col min="14" max="14" width="15.1640625" customWidth="1"/>
    <col min="15" max="15" width="13.6640625" customWidth="1"/>
    <col min="16" max="16" width="17.1640625" customWidth="1"/>
    <col min="17" max="17" width="13.1640625" customWidth="1"/>
    <col min="18" max="18" width="11.5" customWidth="1"/>
    <col min="19" max="19" width="12.6640625" customWidth="1"/>
    <col min="20" max="20" width="11.83203125" customWidth="1"/>
    <col min="21" max="21" width="13.6640625" customWidth="1"/>
    <col min="22" max="22" width="13.33203125" customWidth="1"/>
    <col min="23" max="23" width="14.5" customWidth="1"/>
    <col min="24" max="24" width="12.83203125" customWidth="1"/>
    <col min="25" max="25" width="11.33203125" customWidth="1"/>
    <col min="26" max="26" width="9.1640625" customWidth="1"/>
    <col min="27" max="27" width="12" customWidth="1"/>
    <col min="28" max="28" width="11.5" customWidth="1"/>
    <col min="29" max="29" width="17.5" customWidth="1"/>
  </cols>
  <sheetData>
    <row r="1" spans="1:66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66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66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66" x14ac:dyDescent="0.2">
      <c r="A4">
        <v>1</v>
      </c>
      <c r="B4">
        <v>1</v>
      </c>
      <c r="K4">
        <v>8</v>
      </c>
      <c r="L4">
        <v>8</v>
      </c>
      <c r="M4">
        <v>8</v>
      </c>
      <c r="Q4">
        <v>1</v>
      </c>
      <c r="R4">
        <v>1</v>
      </c>
      <c r="S4">
        <v>1</v>
      </c>
      <c r="T4">
        <v>1</v>
      </c>
      <c r="X4">
        <v>1</v>
      </c>
    </row>
    <row r="5" spans="1:66" x14ac:dyDescent="0.2">
      <c r="A5">
        <v>2</v>
      </c>
      <c r="B5">
        <v>12</v>
      </c>
      <c r="K5">
        <v>7</v>
      </c>
      <c r="L5">
        <v>6</v>
      </c>
      <c r="M5">
        <v>6</v>
      </c>
      <c r="Q5">
        <v>2</v>
      </c>
      <c r="R5">
        <v>2</v>
      </c>
      <c r="S5">
        <v>1</v>
      </c>
      <c r="T5">
        <v>1</v>
      </c>
      <c r="X5">
        <v>1</v>
      </c>
    </row>
    <row r="6" spans="1:66" x14ac:dyDescent="0.2">
      <c r="A6">
        <v>3</v>
      </c>
      <c r="B6">
        <v>26</v>
      </c>
      <c r="G6" t="s">
        <v>188</v>
      </c>
      <c r="H6">
        <v>1</v>
      </c>
      <c r="I6">
        <v>1</v>
      </c>
      <c r="K6">
        <v>11</v>
      </c>
      <c r="L6">
        <v>8</v>
      </c>
      <c r="M6">
        <v>8</v>
      </c>
      <c r="Q6">
        <v>3</v>
      </c>
      <c r="R6">
        <v>3</v>
      </c>
      <c r="S6">
        <v>1</v>
      </c>
      <c r="T6">
        <v>1</v>
      </c>
      <c r="X6">
        <v>1</v>
      </c>
    </row>
    <row r="7" spans="1:66" x14ac:dyDescent="0.2">
      <c r="A7">
        <v>4</v>
      </c>
      <c r="B7">
        <v>32</v>
      </c>
      <c r="G7" t="s">
        <v>188</v>
      </c>
      <c r="H7">
        <v>1</v>
      </c>
      <c r="I7">
        <v>1</v>
      </c>
      <c r="K7">
        <v>9</v>
      </c>
      <c r="L7">
        <v>3</v>
      </c>
      <c r="M7">
        <v>3</v>
      </c>
      <c r="N7">
        <v>2</v>
      </c>
      <c r="Q7">
        <v>3</v>
      </c>
      <c r="R7">
        <v>3</v>
      </c>
      <c r="X7">
        <v>1</v>
      </c>
    </row>
    <row r="8" spans="1:66" x14ac:dyDescent="0.2">
      <c r="A8">
        <v>5</v>
      </c>
      <c r="B8">
        <v>48</v>
      </c>
      <c r="G8" t="s">
        <v>188</v>
      </c>
      <c r="H8">
        <v>1</v>
      </c>
      <c r="I8">
        <v>1</v>
      </c>
      <c r="K8">
        <v>10</v>
      </c>
      <c r="L8">
        <v>9</v>
      </c>
      <c r="M8">
        <v>9</v>
      </c>
      <c r="Q8">
        <v>1</v>
      </c>
      <c r="R8">
        <v>1</v>
      </c>
      <c r="X8">
        <v>1</v>
      </c>
    </row>
    <row r="9" spans="1:66" x14ac:dyDescent="0.2">
      <c r="A9">
        <v>6</v>
      </c>
      <c r="B9">
        <v>59</v>
      </c>
      <c r="C9">
        <v>1</v>
      </c>
      <c r="K9">
        <v>9</v>
      </c>
      <c r="L9">
        <v>6</v>
      </c>
      <c r="M9">
        <v>6</v>
      </c>
      <c r="Q9">
        <v>4</v>
      </c>
      <c r="R9">
        <v>4</v>
      </c>
      <c r="S9">
        <v>1</v>
      </c>
      <c r="T9">
        <v>1</v>
      </c>
      <c r="X9">
        <v>1</v>
      </c>
    </row>
    <row r="10" spans="1:66" x14ac:dyDescent="0.2">
      <c r="A10">
        <v>7</v>
      </c>
      <c r="B10">
        <v>68</v>
      </c>
      <c r="C10">
        <v>1</v>
      </c>
      <c r="J10">
        <v>3</v>
      </c>
      <c r="K10">
        <v>3</v>
      </c>
      <c r="L10">
        <v>2</v>
      </c>
      <c r="M10">
        <v>1</v>
      </c>
      <c r="N10">
        <v>4</v>
      </c>
      <c r="X10">
        <v>1</v>
      </c>
    </row>
    <row r="11" spans="1:66" x14ac:dyDescent="0.2">
      <c r="A11">
        <v>8</v>
      </c>
      <c r="B11">
        <v>73</v>
      </c>
      <c r="G11" t="s">
        <v>185</v>
      </c>
      <c r="H11">
        <v>1</v>
      </c>
      <c r="I11">
        <v>1</v>
      </c>
      <c r="K11">
        <v>8</v>
      </c>
      <c r="L11">
        <v>8</v>
      </c>
      <c r="M11">
        <v>8</v>
      </c>
      <c r="S11">
        <v>1</v>
      </c>
      <c r="T11">
        <v>1</v>
      </c>
      <c r="U11">
        <v>1</v>
      </c>
      <c r="W11" t="s">
        <v>189</v>
      </c>
      <c r="X11">
        <v>1</v>
      </c>
    </row>
    <row r="12" spans="1:66" x14ac:dyDescent="0.2">
      <c r="A12">
        <v>9</v>
      </c>
      <c r="B12">
        <v>83</v>
      </c>
      <c r="C12">
        <v>1</v>
      </c>
      <c r="K12">
        <v>8</v>
      </c>
      <c r="L12">
        <v>7</v>
      </c>
      <c r="M12">
        <v>7</v>
      </c>
      <c r="Q12">
        <v>2</v>
      </c>
      <c r="R12">
        <v>2</v>
      </c>
      <c r="S12">
        <v>1</v>
      </c>
      <c r="T12">
        <v>1</v>
      </c>
      <c r="X12">
        <v>1</v>
      </c>
    </row>
    <row r="13" spans="1:66" x14ac:dyDescent="0.2">
      <c r="A13">
        <v>10</v>
      </c>
      <c r="B13">
        <v>93</v>
      </c>
      <c r="C13">
        <v>1</v>
      </c>
      <c r="G13" t="s">
        <v>188</v>
      </c>
      <c r="H13">
        <v>1</v>
      </c>
      <c r="I13">
        <v>1</v>
      </c>
      <c r="K13">
        <v>7</v>
      </c>
      <c r="L13">
        <v>7</v>
      </c>
      <c r="M13">
        <v>7</v>
      </c>
      <c r="S13">
        <v>1</v>
      </c>
      <c r="T13">
        <v>1</v>
      </c>
      <c r="X13">
        <v>1</v>
      </c>
    </row>
    <row r="14" spans="1:66" x14ac:dyDescent="0.2">
      <c r="A14">
        <v>11</v>
      </c>
      <c r="B14">
        <v>104</v>
      </c>
      <c r="G14" t="s">
        <v>188</v>
      </c>
      <c r="H14">
        <v>1</v>
      </c>
      <c r="I14">
        <v>1</v>
      </c>
      <c r="J14">
        <v>1</v>
      </c>
      <c r="K14">
        <v>6</v>
      </c>
      <c r="N14">
        <v>6</v>
      </c>
      <c r="O14">
        <v>1</v>
      </c>
      <c r="X14">
        <v>1</v>
      </c>
    </row>
    <row r="15" spans="1:66" x14ac:dyDescent="0.2">
      <c r="A15">
        <v>12</v>
      </c>
      <c r="B15">
        <v>120</v>
      </c>
      <c r="G15" t="s">
        <v>185</v>
      </c>
      <c r="H15">
        <v>1</v>
      </c>
      <c r="I15">
        <v>1</v>
      </c>
      <c r="K15">
        <v>10</v>
      </c>
      <c r="L15">
        <v>9</v>
      </c>
      <c r="M15">
        <v>9</v>
      </c>
      <c r="Q15">
        <v>1</v>
      </c>
      <c r="R15">
        <v>1</v>
      </c>
      <c r="X15">
        <v>1</v>
      </c>
    </row>
    <row r="16" spans="1:66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7</v>
      </c>
      <c r="I16">
        <f t="shared" si="0"/>
        <v>7</v>
      </c>
      <c r="J16">
        <f t="shared" si="0"/>
        <v>4</v>
      </c>
      <c r="K16">
        <f t="shared" si="0"/>
        <v>96</v>
      </c>
      <c r="L16">
        <f t="shared" si="0"/>
        <v>73</v>
      </c>
      <c r="M16">
        <f t="shared" si="0"/>
        <v>72</v>
      </c>
      <c r="N16">
        <f t="shared" si="0"/>
        <v>12</v>
      </c>
      <c r="O16">
        <f t="shared" si="0"/>
        <v>1</v>
      </c>
      <c r="P16">
        <f t="shared" si="0"/>
        <v>0</v>
      </c>
      <c r="Q16">
        <f>SUM(Q4:Q15)</f>
        <v>17</v>
      </c>
      <c r="R16">
        <f>SUM(R4:R15)</f>
        <v>17</v>
      </c>
      <c r="S16">
        <f>SUM(S4:S15)</f>
        <v>7</v>
      </c>
      <c r="T16">
        <v>0</v>
      </c>
      <c r="U16">
        <f>SUM(U4:U15)</f>
        <v>1</v>
      </c>
      <c r="V16">
        <f>SUM(V4:V15)</f>
        <v>0</v>
      </c>
      <c r="W16">
        <f>SUM(W4:W15)</f>
        <v>0</v>
      </c>
      <c r="X16">
        <f>SUM(X4:X15)</f>
        <v>12</v>
      </c>
      <c r="Y16">
        <f>SUM(Y4:Y15)</f>
        <v>0</v>
      </c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 x14ac:dyDescent="0.2"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  <row r="18" spans="1:66" x14ac:dyDescent="0.2">
      <c r="A18" t="s">
        <v>9</v>
      </c>
      <c r="D18" s="1" t="s">
        <v>10</v>
      </c>
      <c r="I18" s="1" t="s">
        <v>11</v>
      </c>
      <c r="S18" s="1" t="s">
        <v>13</v>
      </c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</row>
    <row r="19" spans="1:66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</row>
    <row r="20" spans="1:66" x14ac:dyDescent="0.2">
      <c r="D20" t="e">
        <f>COUNT(F4:F15)/COUNT(E4:E15)</f>
        <v>#DIV/0!</v>
      </c>
      <c r="F20">
        <f>COUNT(I4:I15)/COUNT(H4:H15)</f>
        <v>1</v>
      </c>
      <c r="I20" t="s">
        <v>41</v>
      </c>
      <c r="N20" t="s">
        <v>29</v>
      </c>
      <c r="S20">
        <f>T16/S16</f>
        <v>0</v>
      </c>
      <c r="T20">
        <f>T16/A19</f>
        <v>0</v>
      </c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</row>
    <row r="21" spans="1:66" x14ac:dyDescent="0.2">
      <c r="D21" t="s">
        <v>48</v>
      </c>
      <c r="F21" t="s">
        <v>49</v>
      </c>
      <c r="I21">
        <f>P16/O16</f>
        <v>0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</row>
    <row r="22" spans="1:66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0.33333333333333331</v>
      </c>
      <c r="O22">
        <f>MEDIAN(I54:I65)</f>
        <v>0</v>
      </c>
      <c r="P22">
        <f>MAX(I54:I65)</f>
        <v>3</v>
      </c>
      <c r="Q22">
        <f>_xlfn.STDEV.S(I54:I65)</f>
        <v>0.88762536459859454</v>
      </c>
      <c r="S22">
        <f>V16/U16</f>
        <v>0</v>
      </c>
      <c r="U22" t="e">
        <f>AA66/Y66</f>
        <v>#DIV/0!</v>
      </c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</row>
    <row r="23" spans="1:66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</row>
    <row r="24" spans="1:66" x14ac:dyDescent="0.2">
      <c r="D24" t="e">
        <f>Q66/P66</f>
        <v>#DIV/0!</v>
      </c>
      <c r="F24">
        <f>V66/U66</f>
        <v>1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0</v>
      </c>
      <c r="U24">
        <f>AE66/AC66</f>
        <v>0</v>
      </c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</row>
    <row r="25" spans="1:66" x14ac:dyDescent="0.2">
      <c r="D25" t="s">
        <v>54</v>
      </c>
      <c r="F25" t="s">
        <v>55</v>
      </c>
      <c r="I25" t="s">
        <v>58</v>
      </c>
      <c r="N25">
        <f>AVERAGE(K54:K65)</f>
        <v>8</v>
      </c>
      <c r="O25">
        <f>MEDIAN(K54:K65)</f>
        <v>8</v>
      </c>
      <c r="P25">
        <f>MAX(K54:K65)</f>
        <v>11</v>
      </c>
      <c r="Q25">
        <f>_xlfn.STDEV.S(K54:K65)</f>
        <v>2.1320071635561044</v>
      </c>
      <c r="S25" t="s">
        <v>50</v>
      </c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</row>
    <row r="26" spans="1:66" x14ac:dyDescent="0.2">
      <c r="D26">
        <f>F16/A19</f>
        <v>0</v>
      </c>
      <c r="F26">
        <f>I16/A19</f>
        <v>0.58333333333333337</v>
      </c>
      <c r="I26">
        <f>R16/Q16</f>
        <v>1</v>
      </c>
      <c r="S26" t="s">
        <v>14</v>
      </c>
      <c r="T26" t="s">
        <v>16</v>
      </c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</row>
    <row r="27" spans="1:66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</row>
    <row r="28" spans="1:66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0.04</v>
      </c>
    </row>
    <row r="29" spans="1:66" x14ac:dyDescent="0.2">
      <c r="D29">
        <f>_xlfn.STDEV.S(A68:A79)</f>
        <v>0</v>
      </c>
      <c r="I29">
        <f>AVERAGE(C54:C65)</f>
        <v>1.4166666666666667</v>
      </c>
      <c r="J29">
        <f>MAX(C54:C65)</f>
        <v>4</v>
      </c>
      <c r="K29">
        <f>_xlfn.STDEV.S(C54:C65)</f>
        <v>1.378954368902449</v>
      </c>
      <c r="N29" t="s">
        <v>56</v>
      </c>
      <c r="S29" t="s">
        <v>159</v>
      </c>
    </row>
    <row r="30" spans="1:66" x14ac:dyDescent="0.2">
      <c r="I30" t="s">
        <v>57</v>
      </c>
      <c r="L30" t="s">
        <v>167</v>
      </c>
      <c r="N30">
        <f>K16/(J16+K16)</f>
        <v>0.96</v>
      </c>
      <c r="S30">
        <f>_xlfn.STDEV.S(C68:C79)</f>
        <v>0</v>
      </c>
    </row>
    <row r="31" spans="1:66" x14ac:dyDescent="0.2">
      <c r="D31" t="s">
        <v>179</v>
      </c>
      <c r="F31" t="s">
        <v>180</v>
      </c>
      <c r="I31">
        <f>M16/L16</f>
        <v>0.98630136986301364</v>
      </c>
      <c r="L31">
        <f>K80/I80</f>
        <v>0.95454545454545459</v>
      </c>
    </row>
    <row r="32" spans="1:66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6</v>
      </c>
      <c r="J34">
        <f>MAX(E54:E65)</f>
        <v>9</v>
      </c>
      <c r="K34">
        <f>_xlfn.STDEV.S(E54:E65)</f>
        <v>3.0451153135353137</v>
      </c>
      <c r="L34">
        <f>AVERAGE(K68:K79)</f>
        <v>5.25</v>
      </c>
      <c r="M34">
        <f>MAX(K68:K79)</f>
        <v>7</v>
      </c>
      <c r="N34">
        <f>_xlfn.STDEV.S(K68:K79)</f>
        <v>2.8722813232690143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1</v>
      </c>
      <c r="J37">
        <f>MAX(G54:G65)</f>
        <v>6</v>
      </c>
      <c r="K37">
        <f>_xlfn.STDEV.S(G54:G65)</f>
        <v>2</v>
      </c>
    </row>
    <row r="53" spans="1:44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  <c r="AR53" s="1"/>
    </row>
    <row r="54" spans="1:44" x14ac:dyDescent="0.2">
      <c r="A54">
        <f t="shared" ref="A54:A65" si="1">IF(ISBLANK(B4),"",P4)</f>
        <v>0</v>
      </c>
      <c r="C54">
        <f t="shared" ref="C54:C65" si="2">IF(ISBLANK(B4),"",R4)</f>
        <v>1</v>
      </c>
      <c r="E54">
        <f t="shared" ref="E54:E65" si="3">IF(ISBLANK(B4),"",M4)</f>
        <v>8</v>
      </c>
      <c r="G54">
        <f t="shared" ref="G54:G65" si="4">IF(ISBLANK(B4),"",N4)</f>
        <v>0</v>
      </c>
      <c r="I54">
        <f t="shared" ref="I54:I65" si="5">IF(ISBLANK(B4),"",J4)</f>
        <v>0</v>
      </c>
      <c r="K54">
        <f t="shared" ref="K54:K65" si="6">IF(ISBLANK(B4),"",K4)</f>
        <v>8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44" x14ac:dyDescent="0.2">
      <c r="A55">
        <f t="shared" si="1"/>
        <v>0</v>
      </c>
      <c r="C55">
        <f t="shared" si="2"/>
        <v>2</v>
      </c>
      <c r="E55">
        <f t="shared" si="3"/>
        <v>6</v>
      </c>
      <c r="G55">
        <f t="shared" si="4"/>
        <v>0</v>
      </c>
      <c r="I55">
        <f t="shared" si="5"/>
        <v>0</v>
      </c>
      <c r="K55">
        <f t="shared" si="6"/>
        <v>7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44" x14ac:dyDescent="0.2">
      <c r="A56">
        <f t="shared" si="1"/>
        <v>0</v>
      </c>
      <c r="C56">
        <f t="shared" si="2"/>
        <v>3</v>
      </c>
      <c r="E56">
        <f t="shared" si="3"/>
        <v>8</v>
      </c>
      <c r="G56">
        <f t="shared" si="4"/>
        <v>0</v>
      </c>
      <c r="I56">
        <f t="shared" si="5"/>
        <v>0</v>
      </c>
      <c r="K56">
        <f t="shared" si="6"/>
        <v>11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>
        <f t="shared" si="13"/>
        <v>1</v>
      </c>
      <c r="V56">
        <f t="shared" si="14"/>
        <v>1</v>
      </c>
      <c r="Y56" t="str">
        <f t="shared" si="15"/>
        <v/>
      </c>
      <c r="AA56" t="str">
        <f t="shared" si="16"/>
        <v/>
      </c>
      <c r="AC56" t="str">
        <f t="shared" si="17"/>
        <v/>
      </c>
      <c r="AE56" t="str">
        <f t="shared" si="18"/>
        <v/>
      </c>
    </row>
    <row r="57" spans="1:44" x14ac:dyDescent="0.2">
      <c r="A57">
        <f t="shared" si="1"/>
        <v>0</v>
      </c>
      <c r="C57">
        <f t="shared" si="2"/>
        <v>3</v>
      </c>
      <c r="E57">
        <f t="shared" si="3"/>
        <v>3</v>
      </c>
      <c r="G57">
        <f t="shared" si="4"/>
        <v>2</v>
      </c>
      <c r="I57">
        <f t="shared" si="5"/>
        <v>0</v>
      </c>
      <c r="K57">
        <f t="shared" si="6"/>
        <v>9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 t="str">
        <f t="shared" si="11"/>
        <v/>
      </c>
      <c r="T57" t="str">
        <f t="shared" si="12"/>
        <v/>
      </c>
      <c r="U57">
        <f t="shared" si="13"/>
        <v>1</v>
      </c>
      <c r="V57">
        <f t="shared" si="14"/>
        <v>1</v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44" x14ac:dyDescent="0.2">
      <c r="A58">
        <f t="shared" si="1"/>
        <v>0</v>
      </c>
      <c r="C58">
        <f t="shared" si="2"/>
        <v>1</v>
      </c>
      <c r="E58">
        <f t="shared" si="3"/>
        <v>9</v>
      </c>
      <c r="G58">
        <f t="shared" si="4"/>
        <v>0</v>
      </c>
      <c r="I58">
        <f t="shared" si="5"/>
        <v>0</v>
      </c>
      <c r="K58">
        <f t="shared" si="6"/>
        <v>10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 t="str">
        <f t="shared" si="11"/>
        <v/>
      </c>
      <c r="T58" t="str">
        <f t="shared" si="12"/>
        <v/>
      </c>
      <c r="U58">
        <f t="shared" si="13"/>
        <v>1</v>
      </c>
      <c r="V58">
        <f t="shared" si="14"/>
        <v>1</v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44" x14ac:dyDescent="0.2">
      <c r="A59">
        <f t="shared" si="1"/>
        <v>0</v>
      </c>
      <c r="C59">
        <f t="shared" si="2"/>
        <v>4</v>
      </c>
      <c r="E59">
        <f t="shared" si="3"/>
        <v>6</v>
      </c>
      <c r="G59">
        <f t="shared" si="4"/>
        <v>0</v>
      </c>
      <c r="I59">
        <f t="shared" si="5"/>
        <v>0</v>
      </c>
      <c r="K59">
        <f t="shared" si="6"/>
        <v>9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 t="str">
        <f t="shared" si="11"/>
        <v/>
      </c>
      <c r="T59" t="str">
        <f t="shared" si="12"/>
        <v/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44" x14ac:dyDescent="0.2">
      <c r="A60">
        <f t="shared" si="1"/>
        <v>0</v>
      </c>
      <c r="C60">
        <f t="shared" si="2"/>
        <v>0</v>
      </c>
      <c r="E60">
        <f t="shared" si="3"/>
        <v>1</v>
      </c>
      <c r="G60">
        <f t="shared" si="4"/>
        <v>4</v>
      </c>
      <c r="I60">
        <f t="shared" si="5"/>
        <v>3</v>
      </c>
      <c r="K60">
        <f t="shared" si="6"/>
        <v>3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 t="str">
        <f t="shared" si="13"/>
        <v/>
      </c>
      <c r="V60" t="str">
        <f t="shared" si="14"/>
        <v/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44" x14ac:dyDescent="0.2">
      <c r="A61">
        <f t="shared" si="1"/>
        <v>0</v>
      </c>
      <c r="C61">
        <f t="shared" si="2"/>
        <v>0</v>
      </c>
      <c r="E61">
        <f t="shared" si="3"/>
        <v>8</v>
      </c>
      <c r="G61">
        <f t="shared" si="4"/>
        <v>0</v>
      </c>
      <c r="I61">
        <f t="shared" si="5"/>
        <v>0</v>
      </c>
      <c r="K61">
        <f t="shared" si="6"/>
        <v>8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>
        <f t="shared" si="11"/>
        <v>1</v>
      </c>
      <c r="T61">
        <f t="shared" si="12"/>
        <v>1</v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>
        <f t="shared" si="17"/>
        <v>1</v>
      </c>
      <c r="AE61">
        <f t="shared" si="18"/>
        <v>0</v>
      </c>
    </row>
    <row r="62" spans="1:44" x14ac:dyDescent="0.2">
      <c r="A62">
        <f t="shared" si="1"/>
        <v>0</v>
      </c>
      <c r="C62">
        <f t="shared" si="2"/>
        <v>2</v>
      </c>
      <c r="E62">
        <f t="shared" si="3"/>
        <v>7</v>
      </c>
      <c r="G62">
        <f t="shared" si="4"/>
        <v>0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44" x14ac:dyDescent="0.2">
      <c r="A63">
        <f t="shared" si="1"/>
        <v>0</v>
      </c>
      <c r="C63">
        <f t="shared" si="2"/>
        <v>0</v>
      </c>
      <c r="E63">
        <f t="shared" si="3"/>
        <v>7</v>
      </c>
      <c r="G63">
        <f t="shared" si="4"/>
        <v>0</v>
      </c>
      <c r="I63">
        <f t="shared" si="5"/>
        <v>0</v>
      </c>
      <c r="K63">
        <f t="shared" si="6"/>
        <v>7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>
        <f t="shared" si="13"/>
        <v>1</v>
      </c>
      <c r="V63">
        <f t="shared" si="14"/>
        <v>1</v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44" x14ac:dyDescent="0.2">
      <c r="A64">
        <f t="shared" si="1"/>
        <v>0</v>
      </c>
      <c r="C64">
        <f t="shared" si="2"/>
        <v>0</v>
      </c>
      <c r="E64">
        <f t="shared" si="3"/>
        <v>0</v>
      </c>
      <c r="G64">
        <f t="shared" si="4"/>
        <v>6</v>
      </c>
      <c r="I64">
        <f t="shared" si="5"/>
        <v>1</v>
      </c>
      <c r="K64">
        <f t="shared" si="6"/>
        <v>6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>
        <f t="shared" si="13"/>
        <v>1</v>
      </c>
      <c r="V64">
        <f t="shared" si="14"/>
        <v>1</v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1</v>
      </c>
      <c r="E65">
        <f t="shared" si="3"/>
        <v>9</v>
      </c>
      <c r="G65">
        <f t="shared" si="4"/>
        <v>0</v>
      </c>
      <c r="I65">
        <f t="shared" si="5"/>
        <v>0</v>
      </c>
      <c r="K65">
        <f t="shared" si="6"/>
        <v>10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>
        <f t="shared" si="11"/>
        <v>1</v>
      </c>
      <c r="T65">
        <f t="shared" si="12"/>
        <v>1</v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2</v>
      </c>
      <c r="T66">
        <f>SUM(T54:T65)</f>
        <v>2</v>
      </c>
      <c r="U66">
        <f>SUM(U54:U65)</f>
        <v>5</v>
      </c>
      <c r="V66">
        <f>SUM(V54:V65)</f>
        <v>5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0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9</v>
      </c>
      <c r="G68">
        <f>AVERAGE(E68:E79)</f>
        <v>8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8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>
        <f t="shared" si="19"/>
        <v>1</v>
      </c>
      <c r="C70">
        <f t="shared" si="20"/>
        <v>0</v>
      </c>
      <c r="E70">
        <f t="shared" si="21"/>
        <v>12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7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11</v>
      </c>
      <c r="I72" t="str">
        <f t="shared" si="22"/>
        <v/>
      </c>
      <c r="K72" t="str">
        <f t="shared" si="23"/>
        <v/>
      </c>
    </row>
    <row r="73" spans="1:31" x14ac:dyDescent="0.2">
      <c r="A73" t="str">
        <f t="shared" si="19"/>
        <v/>
      </c>
      <c r="C73">
        <f t="shared" si="20"/>
        <v>0</v>
      </c>
      <c r="E73">
        <f t="shared" si="21"/>
        <v>10</v>
      </c>
      <c r="I73">
        <f t="shared" si="22"/>
        <v>6</v>
      </c>
      <c r="K73">
        <f t="shared" si="23"/>
        <v>6</v>
      </c>
    </row>
    <row r="74" spans="1:31" x14ac:dyDescent="0.2">
      <c r="A74" t="str">
        <f t="shared" si="19"/>
        <v/>
      </c>
      <c r="C74">
        <f t="shared" si="20"/>
        <v>0</v>
      </c>
      <c r="E74">
        <f t="shared" si="21"/>
        <v>1</v>
      </c>
      <c r="I74">
        <f t="shared" si="22"/>
        <v>2</v>
      </c>
      <c r="K74">
        <f t="shared" si="23"/>
        <v>1</v>
      </c>
    </row>
    <row r="75" spans="1:31" x14ac:dyDescent="0.2">
      <c r="A75">
        <f t="shared" si="19"/>
        <v>1</v>
      </c>
      <c r="C75">
        <f t="shared" si="20"/>
        <v>0</v>
      </c>
      <c r="E75">
        <f t="shared" si="21"/>
        <v>9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9</v>
      </c>
      <c r="I76">
        <f t="shared" si="22"/>
        <v>7</v>
      </c>
      <c r="K76">
        <f t="shared" si="23"/>
        <v>7</v>
      </c>
    </row>
    <row r="77" spans="1:31" x14ac:dyDescent="0.2">
      <c r="A77">
        <f t="shared" si="19"/>
        <v>1</v>
      </c>
      <c r="C77">
        <f t="shared" si="20"/>
        <v>0</v>
      </c>
      <c r="E77">
        <f t="shared" si="21"/>
        <v>8</v>
      </c>
      <c r="I77">
        <f t="shared" si="22"/>
        <v>7</v>
      </c>
      <c r="K77">
        <f t="shared" si="23"/>
        <v>7</v>
      </c>
    </row>
    <row r="78" spans="1:31" x14ac:dyDescent="0.2">
      <c r="A78">
        <f t="shared" si="19"/>
        <v>1</v>
      </c>
      <c r="C78">
        <f t="shared" si="20"/>
        <v>0</v>
      </c>
      <c r="E78">
        <f t="shared" si="21"/>
        <v>1</v>
      </c>
      <c r="I78" t="str">
        <f t="shared" si="22"/>
        <v/>
      </c>
      <c r="K78" t="str">
        <f t="shared" si="23"/>
        <v/>
      </c>
    </row>
    <row r="79" spans="1:31" x14ac:dyDescent="0.2">
      <c r="A79">
        <f t="shared" si="19"/>
        <v>1</v>
      </c>
      <c r="C79">
        <f t="shared" si="20"/>
        <v>0</v>
      </c>
      <c r="E79">
        <f t="shared" si="21"/>
        <v>11</v>
      </c>
      <c r="I79" t="str">
        <f t="shared" si="22"/>
        <v/>
      </c>
      <c r="K79" t="str">
        <f t="shared" si="23"/>
        <v/>
      </c>
    </row>
    <row r="80" spans="1:31" x14ac:dyDescent="0.2">
      <c r="H80" t="s">
        <v>168</v>
      </c>
      <c r="I80">
        <f>SUM(I68:I79)</f>
        <v>22</v>
      </c>
      <c r="K80">
        <f>SUM(K68:K79)</f>
        <v>21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E94"/>
  <sheetViews>
    <sheetView tabSelected="1" workbookViewId="0">
      <selection activeCell="C6" sqref="C6"/>
    </sheetView>
  </sheetViews>
  <sheetFormatPr baseColWidth="10" defaultRowHeight="15" x14ac:dyDescent="0.2"/>
  <sheetData>
    <row r="1" spans="1:25" x14ac:dyDescent="0.2">
      <c r="A1" s="1" t="s">
        <v>0</v>
      </c>
      <c r="D1" t="s">
        <v>3</v>
      </c>
      <c r="J1" t="s">
        <v>19</v>
      </c>
      <c r="L1" t="s">
        <v>20</v>
      </c>
      <c r="S1" t="s">
        <v>7</v>
      </c>
    </row>
    <row r="2" spans="1:25" x14ac:dyDescent="0.2">
      <c r="A2" t="s">
        <v>1</v>
      </c>
      <c r="B2" t="s">
        <v>1</v>
      </c>
      <c r="C2" t="s">
        <v>164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29</v>
      </c>
      <c r="K2" t="s">
        <v>6</v>
      </c>
      <c r="L2" t="s">
        <v>27</v>
      </c>
      <c r="M2" t="s">
        <v>28</v>
      </c>
      <c r="N2" t="s">
        <v>30</v>
      </c>
      <c r="O2" t="s">
        <v>22</v>
      </c>
      <c r="P2" t="s">
        <v>23</v>
      </c>
      <c r="Q2" t="s">
        <v>25</v>
      </c>
      <c r="R2" t="s">
        <v>26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</row>
    <row r="3" spans="1:25" x14ac:dyDescent="0.2">
      <c r="A3" t="s">
        <v>2</v>
      </c>
      <c r="B3" t="s">
        <v>5</v>
      </c>
      <c r="C3" t="s">
        <v>4</v>
      </c>
      <c r="D3" t="s">
        <v>77</v>
      </c>
      <c r="E3" t="s">
        <v>5</v>
      </c>
      <c r="F3" t="s">
        <v>5</v>
      </c>
      <c r="G3" t="s">
        <v>77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4</v>
      </c>
      <c r="T3" t="s">
        <v>4</v>
      </c>
      <c r="U3" t="s">
        <v>4</v>
      </c>
      <c r="V3" t="s">
        <v>4</v>
      </c>
      <c r="W3" t="s">
        <v>78</v>
      </c>
      <c r="X3" t="s">
        <v>4</v>
      </c>
      <c r="Y3" t="s">
        <v>5</v>
      </c>
    </row>
    <row r="4" spans="1:25" x14ac:dyDescent="0.2">
      <c r="A4">
        <v>1</v>
      </c>
      <c r="B4">
        <v>10</v>
      </c>
      <c r="K4">
        <v>1</v>
      </c>
      <c r="N4">
        <v>1</v>
      </c>
      <c r="X4">
        <v>1</v>
      </c>
    </row>
    <row r="5" spans="1:25" x14ac:dyDescent="0.2">
      <c r="A5">
        <v>2</v>
      </c>
      <c r="B5">
        <v>19</v>
      </c>
      <c r="K5">
        <v>8</v>
      </c>
      <c r="L5">
        <v>7</v>
      </c>
      <c r="M5">
        <v>7</v>
      </c>
      <c r="Q5">
        <v>2</v>
      </c>
      <c r="R5">
        <v>2</v>
      </c>
      <c r="X5">
        <v>1</v>
      </c>
    </row>
    <row r="6" spans="1:25" x14ac:dyDescent="0.2">
      <c r="A6">
        <v>3</v>
      </c>
      <c r="B6">
        <v>27</v>
      </c>
      <c r="K6">
        <v>3</v>
      </c>
      <c r="L6">
        <v>4</v>
      </c>
      <c r="M6">
        <v>3</v>
      </c>
      <c r="U6">
        <v>1</v>
      </c>
      <c r="V6">
        <v>1</v>
      </c>
      <c r="W6" t="s">
        <v>189</v>
      </c>
    </row>
    <row r="7" spans="1:25" x14ac:dyDescent="0.2">
      <c r="A7">
        <v>4</v>
      </c>
      <c r="B7">
        <v>38</v>
      </c>
      <c r="G7" t="s">
        <v>185</v>
      </c>
      <c r="H7">
        <v>1</v>
      </c>
      <c r="I7">
        <v>1</v>
      </c>
      <c r="K7">
        <v>8</v>
      </c>
      <c r="L7">
        <v>8</v>
      </c>
      <c r="M7">
        <v>8</v>
      </c>
      <c r="S7">
        <v>1</v>
      </c>
      <c r="X7">
        <v>1</v>
      </c>
    </row>
    <row r="8" spans="1:25" x14ac:dyDescent="0.2">
      <c r="A8">
        <v>5</v>
      </c>
      <c r="B8">
        <v>50</v>
      </c>
      <c r="C8">
        <v>1</v>
      </c>
      <c r="G8" t="s">
        <v>185</v>
      </c>
      <c r="H8">
        <v>1</v>
      </c>
      <c r="I8">
        <v>1</v>
      </c>
      <c r="K8">
        <v>8</v>
      </c>
      <c r="L8">
        <v>7</v>
      </c>
      <c r="M8">
        <v>7</v>
      </c>
      <c r="X8">
        <v>1</v>
      </c>
    </row>
    <row r="9" spans="1:25" x14ac:dyDescent="0.2">
      <c r="A9">
        <v>6</v>
      </c>
      <c r="B9">
        <v>58</v>
      </c>
      <c r="G9" t="s">
        <v>185</v>
      </c>
      <c r="H9">
        <v>1</v>
      </c>
      <c r="I9">
        <v>1</v>
      </c>
      <c r="K9">
        <v>5</v>
      </c>
      <c r="L9">
        <v>5</v>
      </c>
      <c r="M9">
        <v>5</v>
      </c>
      <c r="X9">
        <v>1</v>
      </c>
    </row>
    <row r="10" spans="1:25" x14ac:dyDescent="0.2">
      <c r="A10">
        <v>7</v>
      </c>
      <c r="B10">
        <v>66</v>
      </c>
      <c r="G10" t="s">
        <v>188</v>
      </c>
      <c r="H10">
        <v>1</v>
      </c>
      <c r="K10">
        <v>8</v>
      </c>
      <c r="L10">
        <v>3</v>
      </c>
      <c r="M10">
        <v>3</v>
      </c>
      <c r="Q10">
        <v>5</v>
      </c>
      <c r="R10">
        <v>4</v>
      </c>
    </row>
    <row r="11" spans="1:25" x14ac:dyDescent="0.2">
      <c r="A11">
        <v>8</v>
      </c>
      <c r="B11">
        <v>71</v>
      </c>
      <c r="K11">
        <v>3</v>
      </c>
      <c r="L11">
        <v>3</v>
      </c>
      <c r="M11">
        <v>3</v>
      </c>
      <c r="Q11">
        <v>1</v>
      </c>
      <c r="R11">
        <v>1</v>
      </c>
      <c r="X11">
        <v>1</v>
      </c>
    </row>
    <row r="12" spans="1:25" x14ac:dyDescent="0.2">
      <c r="A12">
        <v>9</v>
      </c>
      <c r="B12">
        <v>88</v>
      </c>
      <c r="K12">
        <v>8</v>
      </c>
      <c r="L12">
        <v>4</v>
      </c>
      <c r="M12">
        <v>4</v>
      </c>
      <c r="N12">
        <v>2</v>
      </c>
      <c r="Q12">
        <v>3</v>
      </c>
      <c r="R12">
        <v>3</v>
      </c>
      <c r="S12">
        <v>1</v>
      </c>
      <c r="T12">
        <v>1</v>
      </c>
      <c r="X12">
        <v>1</v>
      </c>
    </row>
    <row r="13" spans="1:25" x14ac:dyDescent="0.2">
      <c r="A13">
        <v>10</v>
      </c>
      <c r="B13">
        <v>94</v>
      </c>
      <c r="C13">
        <v>1</v>
      </c>
      <c r="K13">
        <v>10</v>
      </c>
      <c r="L13">
        <v>10</v>
      </c>
      <c r="M13">
        <v>10</v>
      </c>
      <c r="Q13">
        <v>1</v>
      </c>
      <c r="R13">
        <v>1</v>
      </c>
      <c r="X13">
        <v>1</v>
      </c>
    </row>
    <row r="14" spans="1:25" x14ac:dyDescent="0.2">
      <c r="A14">
        <v>11</v>
      </c>
      <c r="B14">
        <v>109</v>
      </c>
      <c r="C14">
        <v>1</v>
      </c>
      <c r="K14">
        <v>7</v>
      </c>
      <c r="L14">
        <v>7</v>
      </c>
      <c r="M14">
        <v>6</v>
      </c>
      <c r="Q14">
        <v>1</v>
      </c>
      <c r="R14">
        <v>1</v>
      </c>
      <c r="S14">
        <v>1</v>
      </c>
    </row>
    <row r="15" spans="1:25" x14ac:dyDescent="0.2">
      <c r="A15">
        <v>12</v>
      </c>
      <c r="B15">
        <v>116</v>
      </c>
      <c r="C15">
        <v>1</v>
      </c>
      <c r="K15">
        <v>4</v>
      </c>
      <c r="L15">
        <v>1</v>
      </c>
      <c r="M15">
        <v>1</v>
      </c>
      <c r="N15">
        <v>3</v>
      </c>
      <c r="X15">
        <v>1</v>
      </c>
    </row>
    <row r="16" spans="1:25" x14ac:dyDescent="0.2">
      <c r="A16" t="s">
        <v>8</v>
      </c>
      <c r="C16">
        <f>SUM(C4:C15)</f>
        <v>4</v>
      </c>
      <c r="E16">
        <f>SUM(E4:E15)</f>
        <v>0</v>
      </c>
      <c r="F16">
        <f>SUM(F4:F15)</f>
        <v>0</v>
      </c>
      <c r="H16">
        <f t="shared" ref="H16:P16" si="0">SUM(H4:H15)</f>
        <v>4</v>
      </c>
      <c r="I16">
        <f t="shared" si="0"/>
        <v>3</v>
      </c>
      <c r="J16">
        <f t="shared" si="0"/>
        <v>0</v>
      </c>
      <c r="K16">
        <f t="shared" si="0"/>
        <v>73</v>
      </c>
      <c r="L16">
        <f t="shared" si="0"/>
        <v>59</v>
      </c>
      <c r="M16">
        <f t="shared" si="0"/>
        <v>57</v>
      </c>
      <c r="N16">
        <f t="shared" si="0"/>
        <v>6</v>
      </c>
      <c r="O16">
        <f t="shared" si="0"/>
        <v>0</v>
      </c>
      <c r="P16">
        <f t="shared" si="0"/>
        <v>0</v>
      </c>
      <c r="Q16">
        <f>SUM(Q4:Q15)</f>
        <v>13</v>
      </c>
      <c r="R16">
        <f>SUM(R4:R15)</f>
        <v>12</v>
      </c>
      <c r="S16">
        <f>SUM(S4:S15)</f>
        <v>3</v>
      </c>
      <c r="T16">
        <v>0</v>
      </c>
      <c r="U16">
        <f>SUM(U4:U15)</f>
        <v>1</v>
      </c>
      <c r="V16">
        <f>SUM(V4:V15)</f>
        <v>1</v>
      </c>
      <c r="W16">
        <f>SUM(W4:W15)</f>
        <v>0</v>
      </c>
      <c r="X16">
        <f>SUM(X4:X15)</f>
        <v>9</v>
      </c>
      <c r="Y16">
        <f>SUM(Y4:Y15)</f>
        <v>0</v>
      </c>
    </row>
    <row r="18" spans="1:21" x14ac:dyDescent="0.2">
      <c r="A18" t="s">
        <v>9</v>
      </c>
      <c r="D18" s="1" t="s">
        <v>10</v>
      </c>
      <c r="I18" s="1" t="s">
        <v>11</v>
      </c>
      <c r="S18" s="1" t="s">
        <v>13</v>
      </c>
    </row>
    <row r="19" spans="1:21" x14ac:dyDescent="0.2">
      <c r="A19">
        <f>COUNT(B4:B15)</f>
        <v>12</v>
      </c>
      <c r="D19" t="s">
        <v>44</v>
      </c>
      <c r="F19" t="s">
        <v>45</v>
      </c>
      <c r="I19" s="3" t="s">
        <v>12</v>
      </c>
      <c r="N19" s="3" t="s">
        <v>38</v>
      </c>
      <c r="S19" t="s">
        <v>39</v>
      </c>
      <c r="T19" t="s">
        <v>40</v>
      </c>
    </row>
    <row r="20" spans="1:21" x14ac:dyDescent="0.2">
      <c r="D20" t="e">
        <f>COUNT(F4:F15)/COUNT(E4:E15)</f>
        <v>#DIV/0!</v>
      </c>
      <c r="F20">
        <f>COUNT(I4:I15)/COUNT(H4:H15)</f>
        <v>0.75</v>
      </c>
      <c r="I20" t="s">
        <v>41</v>
      </c>
      <c r="N20" t="s">
        <v>29</v>
      </c>
      <c r="S20">
        <f>T16/S16</f>
        <v>0</v>
      </c>
      <c r="T20">
        <f>T16/A19</f>
        <v>0</v>
      </c>
    </row>
    <row r="21" spans="1:21" x14ac:dyDescent="0.2">
      <c r="D21" t="s">
        <v>48</v>
      </c>
      <c r="F21" t="s">
        <v>49</v>
      </c>
      <c r="I21" t="e">
        <f>P16/O16</f>
        <v>#DIV/0!</v>
      </c>
      <c r="N21" t="s">
        <v>14</v>
      </c>
      <c r="O21" t="s">
        <v>15</v>
      </c>
      <c r="P21" t="s">
        <v>16</v>
      </c>
      <c r="Q21" t="s">
        <v>17</v>
      </c>
      <c r="S21" t="s">
        <v>42</v>
      </c>
      <c r="U21" t="s">
        <v>43</v>
      </c>
    </row>
    <row r="22" spans="1:21" x14ac:dyDescent="0.2">
      <c r="D22" t="e">
        <f>O66/N66</f>
        <v>#DIV/0!</v>
      </c>
      <c r="F22">
        <f>T66/S66</f>
        <v>1</v>
      </c>
      <c r="I22" t="s">
        <v>23</v>
      </c>
      <c r="N22">
        <f>AVERAGE(I54:I65)</f>
        <v>0</v>
      </c>
      <c r="O22">
        <f>MEDIAN(I54:I65)</f>
        <v>0</v>
      </c>
      <c r="P22">
        <f>MAX(I54:I65)</f>
        <v>0</v>
      </c>
      <c r="Q22">
        <f>_xlfn.STDEV.S(I54:I65)</f>
        <v>0</v>
      </c>
      <c r="S22">
        <f>V16/U16</f>
        <v>1</v>
      </c>
      <c r="U22" t="e">
        <f>AA66/Y66</f>
        <v>#DIV/0!</v>
      </c>
    </row>
    <row r="23" spans="1:21" x14ac:dyDescent="0.2">
      <c r="D23" t="s">
        <v>51</v>
      </c>
      <c r="F23" t="s">
        <v>52</v>
      </c>
      <c r="I23" t="s">
        <v>14</v>
      </c>
      <c r="J23" t="s">
        <v>16</v>
      </c>
      <c r="K23" t="s">
        <v>17</v>
      </c>
      <c r="N23" t="s">
        <v>6</v>
      </c>
      <c r="S23" t="s">
        <v>46</v>
      </c>
      <c r="U23" t="s">
        <v>47</v>
      </c>
    </row>
    <row r="24" spans="1:21" x14ac:dyDescent="0.2">
      <c r="D24" t="e">
        <f>Q66/P66</f>
        <v>#DIV/0!</v>
      </c>
      <c r="F24">
        <f>V66/U66</f>
        <v>0</v>
      </c>
      <c r="I24">
        <f>AVERAGE(A54:A65)</f>
        <v>0</v>
      </c>
      <c r="J24">
        <f>MAX(A54:A65)</f>
        <v>0</v>
      </c>
      <c r="K24">
        <f>_xlfn.STDEV.S(A54:A65)</f>
        <v>0</v>
      </c>
      <c r="N24" t="s">
        <v>14</v>
      </c>
      <c r="O24" t="s">
        <v>15</v>
      </c>
      <c r="P24" t="s">
        <v>16</v>
      </c>
      <c r="Q24" t="s">
        <v>17</v>
      </c>
      <c r="S24">
        <f>V16/A19</f>
        <v>8.3333333333333329E-2</v>
      </c>
      <c r="U24">
        <f>AE66/AC66</f>
        <v>1</v>
      </c>
    </row>
    <row r="25" spans="1:21" x14ac:dyDescent="0.2">
      <c r="D25" t="s">
        <v>54</v>
      </c>
      <c r="F25" t="s">
        <v>55</v>
      </c>
      <c r="I25" t="s">
        <v>58</v>
      </c>
      <c r="N25">
        <f>AVERAGE(K54:K65)</f>
        <v>6.083333333333333</v>
      </c>
      <c r="O25">
        <f>MEDIAN(K54:K65)</f>
        <v>7.5</v>
      </c>
      <c r="P25">
        <f>MAX(K54:K65)</f>
        <v>10</v>
      </c>
      <c r="Q25">
        <f>_xlfn.STDEV.S(K54:K65)</f>
        <v>2.7784342658585559</v>
      </c>
      <c r="S25" t="s">
        <v>50</v>
      </c>
    </row>
    <row r="26" spans="1:21" x14ac:dyDescent="0.2">
      <c r="D26">
        <f>F16/A19</f>
        <v>0</v>
      </c>
      <c r="F26">
        <f>I16/A19</f>
        <v>0.25</v>
      </c>
      <c r="I26">
        <f>R16/Q16</f>
        <v>0.92307692307692313</v>
      </c>
      <c r="S26" t="s">
        <v>14</v>
      </c>
      <c r="T26" t="s">
        <v>16</v>
      </c>
    </row>
    <row r="27" spans="1:21" x14ac:dyDescent="0.2">
      <c r="I27" t="s">
        <v>26</v>
      </c>
      <c r="N27" t="s">
        <v>53</v>
      </c>
      <c r="S27" t="e">
        <f>AVERAGE(Y4:Y15)</f>
        <v>#DIV/0!</v>
      </c>
      <c r="T27">
        <f>MAX(Y4:Y15)</f>
        <v>0</v>
      </c>
    </row>
    <row r="28" spans="1:21" x14ac:dyDescent="0.2">
      <c r="D28" t="s">
        <v>88</v>
      </c>
      <c r="I28" t="s">
        <v>14</v>
      </c>
      <c r="J28" t="s">
        <v>16</v>
      </c>
      <c r="K28" t="s">
        <v>17</v>
      </c>
      <c r="N28">
        <f>J16/(J16+K16)</f>
        <v>0</v>
      </c>
    </row>
    <row r="29" spans="1:21" x14ac:dyDescent="0.2">
      <c r="D29">
        <f>_xlfn.STDEV.S(A68:A79)</f>
        <v>0.5</v>
      </c>
      <c r="I29">
        <f>AVERAGE(C54:C65)</f>
        <v>1</v>
      </c>
      <c r="J29">
        <f>MAX(C54:C65)</f>
        <v>4</v>
      </c>
      <c r="K29">
        <f>_xlfn.STDEV.S(C54:C65)</f>
        <v>1.3483997249264841</v>
      </c>
      <c r="N29" t="s">
        <v>56</v>
      </c>
      <c r="S29" t="s">
        <v>159</v>
      </c>
    </row>
    <row r="30" spans="1:21" x14ac:dyDescent="0.2">
      <c r="I30" t="s">
        <v>57</v>
      </c>
      <c r="L30" t="s">
        <v>167</v>
      </c>
      <c r="N30">
        <f>K16/(J16+K16)</f>
        <v>1</v>
      </c>
      <c r="S30">
        <f>_xlfn.STDEV.S(C68:C79)</f>
        <v>0.28867513459481287</v>
      </c>
    </row>
    <row r="31" spans="1:21" x14ac:dyDescent="0.2">
      <c r="D31" t="s">
        <v>179</v>
      </c>
      <c r="F31" t="s">
        <v>180</v>
      </c>
      <c r="I31">
        <f>M16/L16</f>
        <v>0.96610169491525422</v>
      </c>
      <c r="L31">
        <f>K80/I80</f>
        <v>0.96</v>
      </c>
    </row>
    <row r="32" spans="1:21" x14ac:dyDescent="0.2">
      <c r="D32" t="e">
        <f>D94/B94</f>
        <v>#DIV/0!</v>
      </c>
      <c r="F32" t="e">
        <f>H94/F94</f>
        <v>#DIV/0!</v>
      </c>
      <c r="I32" t="s">
        <v>28</v>
      </c>
      <c r="L32" t="s">
        <v>169</v>
      </c>
    </row>
    <row r="33" spans="9:14" x14ac:dyDescent="0.2">
      <c r="I33" t="s">
        <v>14</v>
      </c>
      <c r="J33" t="s">
        <v>16</v>
      </c>
      <c r="K33" t="s">
        <v>17</v>
      </c>
      <c r="L33" t="s">
        <v>14</v>
      </c>
      <c r="M33" t="s">
        <v>16</v>
      </c>
      <c r="N33" t="s">
        <v>17</v>
      </c>
    </row>
    <row r="34" spans="9:14" x14ac:dyDescent="0.2">
      <c r="I34">
        <f>AVERAGE(E54:E65)</f>
        <v>4.75</v>
      </c>
      <c r="J34">
        <f>MAX(E54:E65)</f>
        <v>10</v>
      </c>
      <c r="K34">
        <f>_xlfn.STDEV.S(E54:E65)</f>
        <v>2.9580398915498081</v>
      </c>
      <c r="L34">
        <f>AVERAGE(K68:K79)</f>
        <v>6</v>
      </c>
      <c r="M34">
        <f>MAX(K68:K79)</f>
        <v>10</v>
      </c>
      <c r="N34">
        <f>_xlfn.STDEV.S(K68:K79)</f>
        <v>3.7416573867739413</v>
      </c>
    </row>
    <row r="35" spans="9:14" x14ac:dyDescent="0.2">
      <c r="I35" t="s">
        <v>30</v>
      </c>
    </row>
    <row r="36" spans="9:14" x14ac:dyDescent="0.2">
      <c r="I36" t="s">
        <v>14</v>
      </c>
      <c r="J36" t="s">
        <v>16</v>
      </c>
      <c r="K36" t="s">
        <v>17</v>
      </c>
    </row>
    <row r="37" spans="9:14" x14ac:dyDescent="0.2">
      <c r="I37">
        <f>AVERAGE(G54:G65)</f>
        <v>0.5</v>
      </c>
      <c r="J37">
        <f>MAX(G54:G65)</f>
        <v>3</v>
      </c>
      <c r="K37">
        <f>_xlfn.STDEV.S(G54:G65)</f>
        <v>1</v>
      </c>
    </row>
    <row r="53" spans="1:31" x14ac:dyDescent="0.2">
      <c r="A53" t="s">
        <v>59</v>
      </c>
      <c r="C53" t="s">
        <v>60</v>
      </c>
      <c r="E53" t="s">
        <v>61</v>
      </c>
      <c r="G53" t="s">
        <v>62</v>
      </c>
      <c r="I53" t="s">
        <v>63</v>
      </c>
      <c r="K53" t="s">
        <v>64</v>
      </c>
      <c r="N53" t="s">
        <v>65</v>
      </c>
      <c r="O53" t="s">
        <v>66</v>
      </c>
      <c r="P53" t="s">
        <v>67</v>
      </c>
      <c r="Q53" t="s">
        <v>68</v>
      </c>
      <c r="S53" t="s">
        <v>69</v>
      </c>
      <c r="T53" t="s">
        <v>70</v>
      </c>
      <c r="U53" t="s">
        <v>71</v>
      </c>
      <c r="V53" t="s">
        <v>72</v>
      </c>
      <c r="Y53" t="s">
        <v>73</v>
      </c>
      <c r="AA53" t="s">
        <v>74</v>
      </c>
      <c r="AC53" t="s">
        <v>75</v>
      </c>
      <c r="AE53" t="s">
        <v>76</v>
      </c>
    </row>
    <row r="54" spans="1:31" x14ac:dyDescent="0.2">
      <c r="A54">
        <f t="shared" ref="A54:A65" si="1">IF(ISBLANK(B4),"",P4)</f>
        <v>0</v>
      </c>
      <c r="C54">
        <f t="shared" ref="C54:C65" si="2">IF(ISBLANK(B4),"",R4)</f>
        <v>0</v>
      </c>
      <c r="E54">
        <f t="shared" ref="E54:E65" si="3">IF(ISBLANK(B4),"",M4)</f>
        <v>0</v>
      </c>
      <c r="G54">
        <f t="shared" ref="G54:G65" si="4">IF(ISBLANK(B4),"",N4)</f>
        <v>1</v>
      </c>
      <c r="I54">
        <f t="shared" ref="I54:I65" si="5">IF(ISBLANK(B4),"",J4)</f>
        <v>0</v>
      </c>
      <c r="K54">
        <f t="shared" ref="K54:K65" si="6">IF(ISBLANK(B4),"",K4)</f>
        <v>1</v>
      </c>
      <c r="N54" t="str">
        <f t="shared" ref="N54:N65" si="7">IF($D4="d", $E4, "")</f>
        <v/>
      </c>
      <c r="O54" t="str">
        <f t="shared" ref="O54:O65" si="8">IF($D4="d", $F4, "")</f>
        <v/>
      </c>
      <c r="P54" t="str">
        <f t="shared" ref="P54:P65" si="9">IF($D4="i", $E4, "")</f>
        <v/>
      </c>
      <c r="Q54" t="str">
        <f t="shared" ref="Q54:Q65" si="10">IF($D4="i", $F4, "")</f>
        <v/>
      </c>
      <c r="S54" t="str">
        <f t="shared" ref="S54:S65" si="11">IF($G4="d", $H4, "")</f>
        <v/>
      </c>
      <c r="T54" t="str">
        <f t="shared" ref="T54:T65" si="12">IF($G4="d", $I4, "")</f>
        <v/>
      </c>
      <c r="U54" t="str">
        <f t="shared" ref="U54:U65" si="13">IF($G4="i", $H4, "")</f>
        <v/>
      </c>
      <c r="V54" t="str">
        <f t="shared" ref="V54:V65" si="14">IF($G4="i", $I4, "")</f>
        <v/>
      </c>
      <c r="Y54" t="str">
        <f t="shared" ref="Y54:Y65" si="15">IF(ISBLANK(B4),"",IF(W4="s",U4,""))</f>
        <v/>
      </c>
      <c r="AA54" t="str">
        <f t="shared" ref="AA54:AA65" si="16">IF(ISBLANK(B4),"",IF(W4="s",V4,""))</f>
        <v/>
      </c>
      <c r="AC54" t="str">
        <f t="shared" ref="AC54:AC65" si="17">IF(ISBLANK(B4),"",IF(W4="o",U4,""))</f>
        <v/>
      </c>
      <c r="AE54" t="str">
        <f t="shared" ref="AE54:AE65" si="18">IF(ISBLANK(B4),"",IF(W4="o",V4,""))</f>
        <v/>
      </c>
    </row>
    <row r="55" spans="1:31" x14ac:dyDescent="0.2">
      <c r="A55">
        <f t="shared" si="1"/>
        <v>0</v>
      </c>
      <c r="C55">
        <f t="shared" si="2"/>
        <v>2</v>
      </c>
      <c r="E55">
        <f t="shared" si="3"/>
        <v>7</v>
      </c>
      <c r="G55">
        <f t="shared" si="4"/>
        <v>0</v>
      </c>
      <c r="I55">
        <f t="shared" si="5"/>
        <v>0</v>
      </c>
      <c r="K55">
        <f t="shared" si="6"/>
        <v>8</v>
      </c>
      <c r="N55" t="str">
        <f t="shared" si="7"/>
        <v/>
      </c>
      <c r="O55" t="str">
        <f t="shared" si="8"/>
        <v/>
      </c>
      <c r="P55" t="str">
        <f t="shared" si="9"/>
        <v/>
      </c>
      <c r="Q55" t="str">
        <f t="shared" si="10"/>
        <v/>
      </c>
      <c r="S55" t="str">
        <f t="shared" si="11"/>
        <v/>
      </c>
      <c r="T55" t="str">
        <f t="shared" si="12"/>
        <v/>
      </c>
      <c r="U55" t="str">
        <f t="shared" si="13"/>
        <v/>
      </c>
      <c r="V55" t="str">
        <f t="shared" si="14"/>
        <v/>
      </c>
      <c r="Y55" t="str">
        <f t="shared" si="15"/>
        <v/>
      </c>
      <c r="AA55" t="str">
        <f t="shared" si="16"/>
        <v/>
      </c>
      <c r="AC55" t="str">
        <f t="shared" si="17"/>
        <v/>
      </c>
      <c r="AE55" t="str">
        <f t="shared" si="18"/>
        <v/>
      </c>
    </row>
    <row r="56" spans="1:31" x14ac:dyDescent="0.2">
      <c r="A56">
        <f t="shared" si="1"/>
        <v>0</v>
      </c>
      <c r="C56">
        <f t="shared" si="2"/>
        <v>0</v>
      </c>
      <c r="E56">
        <f t="shared" si="3"/>
        <v>3</v>
      </c>
      <c r="G56">
        <f t="shared" si="4"/>
        <v>0</v>
      </c>
      <c r="I56">
        <f t="shared" si="5"/>
        <v>0</v>
      </c>
      <c r="K56">
        <f t="shared" si="6"/>
        <v>3</v>
      </c>
      <c r="N56" t="str">
        <f t="shared" si="7"/>
        <v/>
      </c>
      <c r="O56" t="str">
        <f t="shared" si="8"/>
        <v/>
      </c>
      <c r="P56" t="str">
        <f t="shared" si="9"/>
        <v/>
      </c>
      <c r="Q56" t="str">
        <f t="shared" si="10"/>
        <v/>
      </c>
      <c r="S56" t="str">
        <f t="shared" si="11"/>
        <v/>
      </c>
      <c r="T56" t="str">
        <f t="shared" si="12"/>
        <v/>
      </c>
      <c r="U56" t="str">
        <f t="shared" si="13"/>
        <v/>
      </c>
      <c r="V56" t="str">
        <f t="shared" si="14"/>
        <v/>
      </c>
      <c r="Y56" t="str">
        <f t="shared" si="15"/>
        <v/>
      </c>
      <c r="AA56" t="str">
        <f t="shared" si="16"/>
        <v/>
      </c>
      <c r="AC56">
        <f t="shared" si="17"/>
        <v>1</v>
      </c>
      <c r="AE56">
        <f t="shared" si="18"/>
        <v>1</v>
      </c>
    </row>
    <row r="57" spans="1:31" x14ac:dyDescent="0.2">
      <c r="A57">
        <f t="shared" si="1"/>
        <v>0</v>
      </c>
      <c r="C57">
        <f t="shared" si="2"/>
        <v>0</v>
      </c>
      <c r="E57">
        <f t="shared" si="3"/>
        <v>8</v>
      </c>
      <c r="G57">
        <f t="shared" si="4"/>
        <v>0</v>
      </c>
      <c r="I57">
        <f t="shared" si="5"/>
        <v>0</v>
      </c>
      <c r="K57">
        <f t="shared" si="6"/>
        <v>8</v>
      </c>
      <c r="N57" t="str">
        <f t="shared" si="7"/>
        <v/>
      </c>
      <c r="O57" t="str">
        <f t="shared" si="8"/>
        <v/>
      </c>
      <c r="P57" t="str">
        <f t="shared" si="9"/>
        <v/>
      </c>
      <c r="Q57" t="str">
        <f t="shared" si="10"/>
        <v/>
      </c>
      <c r="S57">
        <f t="shared" si="11"/>
        <v>1</v>
      </c>
      <c r="T57">
        <f t="shared" si="12"/>
        <v>1</v>
      </c>
      <c r="U57" t="str">
        <f t="shared" si="13"/>
        <v/>
      </c>
      <c r="V57" t="str">
        <f t="shared" si="14"/>
        <v/>
      </c>
      <c r="Y57" t="str">
        <f t="shared" si="15"/>
        <v/>
      </c>
      <c r="AA57" t="str">
        <f t="shared" si="16"/>
        <v/>
      </c>
      <c r="AC57" t="str">
        <f t="shared" si="17"/>
        <v/>
      </c>
      <c r="AE57" t="str">
        <f t="shared" si="18"/>
        <v/>
      </c>
    </row>
    <row r="58" spans="1:31" x14ac:dyDescent="0.2">
      <c r="A58">
        <f t="shared" si="1"/>
        <v>0</v>
      </c>
      <c r="C58">
        <f t="shared" si="2"/>
        <v>0</v>
      </c>
      <c r="E58">
        <f t="shared" si="3"/>
        <v>7</v>
      </c>
      <c r="G58">
        <f t="shared" si="4"/>
        <v>0</v>
      </c>
      <c r="I58">
        <f t="shared" si="5"/>
        <v>0</v>
      </c>
      <c r="K58">
        <f t="shared" si="6"/>
        <v>8</v>
      </c>
      <c r="N58" t="str">
        <f t="shared" si="7"/>
        <v/>
      </c>
      <c r="O58" t="str">
        <f t="shared" si="8"/>
        <v/>
      </c>
      <c r="P58" t="str">
        <f t="shared" si="9"/>
        <v/>
      </c>
      <c r="Q58" t="str">
        <f t="shared" si="10"/>
        <v/>
      </c>
      <c r="S58">
        <f t="shared" si="11"/>
        <v>1</v>
      </c>
      <c r="T58">
        <f t="shared" si="12"/>
        <v>1</v>
      </c>
      <c r="U58" t="str">
        <f t="shared" si="13"/>
        <v/>
      </c>
      <c r="V58" t="str">
        <f t="shared" si="14"/>
        <v/>
      </c>
      <c r="Y58" t="str">
        <f t="shared" si="15"/>
        <v/>
      </c>
      <c r="AA58" t="str">
        <f t="shared" si="16"/>
        <v/>
      </c>
      <c r="AC58" t="str">
        <f t="shared" si="17"/>
        <v/>
      </c>
      <c r="AE58" t="str">
        <f t="shared" si="18"/>
        <v/>
      </c>
    </row>
    <row r="59" spans="1:31" x14ac:dyDescent="0.2">
      <c r="A59">
        <f t="shared" si="1"/>
        <v>0</v>
      </c>
      <c r="C59">
        <f t="shared" si="2"/>
        <v>0</v>
      </c>
      <c r="E59">
        <f t="shared" si="3"/>
        <v>5</v>
      </c>
      <c r="G59">
        <f t="shared" si="4"/>
        <v>0</v>
      </c>
      <c r="I59">
        <f t="shared" si="5"/>
        <v>0</v>
      </c>
      <c r="K59">
        <f t="shared" si="6"/>
        <v>5</v>
      </c>
      <c r="N59" t="str">
        <f t="shared" si="7"/>
        <v/>
      </c>
      <c r="O59" t="str">
        <f t="shared" si="8"/>
        <v/>
      </c>
      <c r="P59" t="str">
        <f t="shared" si="9"/>
        <v/>
      </c>
      <c r="Q59" t="str">
        <f t="shared" si="10"/>
        <v/>
      </c>
      <c r="S59">
        <f t="shared" si="11"/>
        <v>1</v>
      </c>
      <c r="T59">
        <f t="shared" si="12"/>
        <v>1</v>
      </c>
      <c r="U59" t="str">
        <f t="shared" si="13"/>
        <v/>
      </c>
      <c r="V59" t="str">
        <f t="shared" si="14"/>
        <v/>
      </c>
      <c r="Y59" t="str">
        <f t="shared" si="15"/>
        <v/>
      </c>
      <c r="AA59" t="str">
        <f t="shared" si="16"/>
        <v/>
      </c>
      <c r="AC59" t="str">
        <f t="shared" si="17"/>
        <v/>
      </c>
      <c r="AE59" t="str">
        <f t="shared" si="18"/>
        <v/>
      </c>
    </row>
    <row r="60" spans="1:31" x14ac:dyDescent="0.2">
      <c r="A60">
        <f t="shared" si="1"/>
        <v>0</v>
      </c>
      <c r="C60">
        <f t="shared" si="2"/>
        <v>4</v>
      </c>
      <c r="E60">
        <f t="shared" si="3"/>
        <v>3</v>
      </c>
      <c r="G60">
        <f t="shared" si="4"/>
        <v>0</v>
      </c>
      <c r="I60">
        <f t="shared" si="5"/>
        <v>0</v>
      </c>
      <c r="K60">
        <f t="shared" si="6"/>
        <v>8</v>
      </c>
      <c r="N60" t="str">
        <f t="shared" si="7"/>
        <v/>
      </c>
      <c r="O60" t="str">
        <f t="shared" si="8"/>
        <v/>
      </c>
      <c r="P60" t="str">
        <f t="shared" si="9"/>
        <v/>
      </c>
      <c r="Q60" t="str">
        <f t="shared" si="10"/>
        <v/>
      </c>
      <c r="S60" t="str">
        <f t="shared" si="11"/>
        <v/>
      </c>
      <c r="T60" t="str">
        <f t="shared" si="12"/>
        <v/>
      </c>
      <c r="U60">
        <f t="shared" si="13"/>
        <v>1</v>
      </c>
      <c r="V60">
        <f t="shared" si="14"/>
        <v>0</v>
      </c>
      <c r="Y60" t="str">
        <f t="shared" si="15"/>
        <v/>
      </c>
      <c r="AA60" t="str">
        <f t="shared" si="16"/>
        <v/>
      </c>
      <c r="AC60" t="str">
        <f t="shared" si="17"/>
        <v/>
      </c>
      <c r="AE60" t="str">
        <f t="shared" si="18"/>
        <v/>
      </c>
    </row>
    <row r="61" spans="1:31" x14ac:dyDescent="0.2">
      <c r="A61">
        <f t="shared" si="1"/>
        <v>0</v>
      </c>
      <c r="C61">
        <f t="shared" si="2"/>
        <v>1</v>
      </c>
      <c r="E61">
        <f t="shared" si="3"/>
        <v>3</v>
      </c>
      <c r="G61">
        <f t="shared" si="4"/>
        <v>0</v>
      </c>
      <c r="I61">
        <f t="shared" si="5"/>
        <v>0</v>
      </c>
      <c r="K61">
        <f t="shared" si="6"/>
        <v>3</v>
      </c>
      <c r="N61" t="str">
        <f t="shared" si="7"/>
        <v/>
      </c>
      <c r="O61" t="str">
        <f t="shared" si="8"/>
        <v/>
      </c>
      <c r="P61" t="str">
        <f t="shared" si="9"/>
        <v/>
      </c>
      <c r="Q61" t="str">
        <f t="shared" si="10"/>
        <v/>
      </c>
      <c r="S61" t="str">
        <f t="shared" si="11"/>
        <v/>
      </c>
      <c r="T61" t="str">
        <f t="shared" si="12"/>
        <v/>
      </c>
      <c r="U61" t="str">
        <f t="shared" si="13"/>
        <v/>
      </c>
      <c r="V61" t="str">
        <f t="shared" si="14"/>
        <v/>
      </c>
      <c r="Y61" t="str">
        <f t="shared" si="15"/>
        <v/>
      </c>
      <c r="AA61" t="str">
        <f t="shared" si="16"/>
        <v/>
      </c>
      <c r="AC61" t="str">
        <f t="shared" si="17"/>
        <v/>
      </c>
      <c r="AE61" t="str">
        <f t="shared" si="18"/>
        <v/>
      </c>
    </row>
    <row r="62" spans="1:31" x14ac:dyDescent="0.2">
      <c r="A62">
        <f t="shared" si="1"/>
        <v>0</v>
      </c>
      <c r="C62">
        <f t="shared" si="2"/>
        <v>3</v>
      </c>
      <c r="E62">
        <f t="shared" si="3"/>
        <v>4</v>
      </c>
      <c r="G62">
        <f t="shared" si="4"/>
        <v>2</v>
      </c>
      <c r="I62">
        <f t="shared" si="5"/>
        <v>0</v>
      </c>
      <c r="K62">
        <f t="shared" si="6"/>
        <v>8</v>
      </c>
      <c r="N62" t="str">
        <f t="shared" si="7"/>
        <v/>
      </c>
      <c r="O62" t="str">
        <f t="shared" si="8"/>
        <v/>
      </c>
      <c r="P62" t="str">
        <f t="shared" si="9"/>
        <v/>
      </c>
      <c r="Q62" t="str">
        <f t="shared" si="10"/>
        <v/>
      </c>
      <c r="S62" t="str">
        <f t="shared" si="11"/>
        <v/>
      </c>
      <c r="T62" t="str">
        <f t="shared" si="12"/>
        <v/>
      </c>
      <c r="U62" t="str">
        <f t="shared" si="13"/>
        <v/>
      </c>
      <c r="V62" t="str">
        <f t="shared" si="14"/>
        <v/>
      </c>
      <c r="Y62" t="str">
        <f t="shared" si="15"/>
        <v/>
      </c>
      <c r="AA62" t="str">
        <f t="shared" si="16"/>
        <v/>
      </c>
      <c r="AC62" t="str">
        <f t="shared" si="17"/>
        <v/>
      </c>
      <c r="AE62" t="str">
        <f t="shared" si="18"/>
        <v/>
      </c>
    </row>
    <row r="63" spans="1:31" x14ac:dyDescent="0.2">
      <c r="A63">
        <f t="shared" si="1"/>
        <v>0</v>
      </c>
      <c r="C63">
        <f t="shared" si="2"/>
        <v>1</v>
      </c>
      <c r="E63">
        <f t="shared" si="3"/>
        <v>10</v>
      </c>
      <c r="G63">
        <f t="shared" si="4"/>
        <v>0</v>
      </c>
      <c r="I63">
        <f t="shared" si="5"/>
        <v>0</v>
      </c>
      <c r="K63">
        <f t="shared" si="6"/>
        <v>10</v>
      </c>
      <c r="N63" t="str">
        <f t="shared" si="7"/>
        <v/>
      </c>
      <c r="O63" t="str">
        <f t="shared" si="8"/>
        <v/>
      </c>
      <c r="P63" t="str">
        <f t="shared" si="9"/>
        <v/>
      </c>
      <c r="Q63" t="str">
        <f t="shared" si="10"/>
        <v/>
      </c>
      <c r="S63" t="str">
        <f t="shared" si="11"/>
        <v/>
      </c>
      <c r="T63" t="str">
        <f t="shared" si="12"/>
        <v/>
      </c>
      <c r="U63" t="str">
        <f t="shared" si="13"/>
        <v/>
      </c>
      <c r="V63" t="str">
        <f t="shared" si="14"/>
        <v/>
      </c>
      <c r="Y63" t="str">
        <f t="shared" si="15"/>
        <v/>
      </c>
      <c r="AA63" t="str">
        <f t="shared" si="16"/>
        <v/>
      </c>
      <c r="AC63" t="str">
        <f t="shared" si="17"/>
        <v/>
      </c>
      <c r="AE63" t="str">
        <f t="shared" si="18"/>
        <v/>
      </c>
    </row>
    <row r="64" spans="1:31" x14ac:dyDescent="0.2">
      <c r="A64">
        <f t="shared" si="1"/>
        <v>0</v>
      </c>
      <c r="C64">
        <f t="shared" si="2"/>
        <v>1</v>
      </c>
      <c r="E64">
        <f t="shared" si="3"/>
        <v>6</v>
      </c>
      <c r="G64">
        <f t="shared" si="4"/>
        <v>0</v>
      </c>
      <c r="I64">
        <f t="shared" si="5"/>
        <v>0</v>
      </c>
      <c r="K64">
        <f t="shared" si="6"/>
        <v>7</v>
      </c>
      <c r="N64" t="str">
        <f t="shared" si="7"/>
        <v/>
      </c>
      <c r="O64" t="str">
        <f t="shared" si="8"/>
        <v/>
      </c>
      <c r="P64" t="str">
        <f t="shared" si="9"/>
        <v/>
      </c>
      <c r="Q64" t="str">
        <f t="shared" si="10"/>
        <v/>
      </c>
      <c r="S64" t="str">
        <f t="shared" si="11"/>
        <v/>
      </c>
      <c r="T64" t="str">
        <f t="shared" si="12"/>
        <v/>
      </c>
      <c r="U64" t="str">
        <f t="shared" si="13"/>
        <v/>
      </c>
      <c r="V64" t="str">
        <f t="shared" si="14"/>
        <v/>
      </c>
      <c r="Y64" t="str">
        <f t="shared" si="15"/>
        <v/>
      </c>
      <c r="AA64" t="str">
        <f t="shared" si="16"/>
        <v/>
      </c>
      <c r="AC64" t="str">
        <f t="shared" si="17"/>
        <v/>
      </c>
      <c r="AE64" t="str">
        <f t="shared" si="18"/>
        <v/>
      </c>
    </row>
    <row r="65" spans="1:31" x14ac:dyDescent="0.2">
      <c r="A65">
        <f t="shared" si="1"/>
        <v>0</v>
      </c>
      <c r="C65">
        <f t="shared" si="2"/>
        <v>0</v>
      </c>
      <c r="E65">
        <f t="shared" si="3"/>
        <v>1</v>
      </c>
      <c r="G65">
        <f t="shared" si="4"/>
        <v>3</v>
      </c>
      <c r="I65">
        <f t="shared" si="5"/>
        <v>0</v>
      </c>
      <c r="K65">
        <f t="shared" si="6"/>
        <v>4</v>
      </c>
      <c r="N65" t="str">
        <f t="shared" si="7"/>
        <v/>
      </c>
      <c r="O65" t="str">
        <f t="shared" si="8"/>
        <v/>
      </c>
      <c r="P65" t="str">
        <f t="shared" si="9"/>
        <v/>
      </c>
      <c r="Q65" t="str">
        <f t="shared" si="10"/>
        <v/>
      </c>
      <c r="S65" t="str">
        <f t="shared" si="11"/>
        <v/>
      </c>
      <c r="T65" t="str">
        <f t="shared" si="12"/>
        <v/>
      </c>
      <c r="U65" t="str">
        <f t="shared" si="13"/>
        <v/>
      </c>
      <c r="V65" t="str">
        <f t="shared" si="14"/>
        <v/>
      </c>
      <c r="Y65" t="str">
        <f t="shared" si="15"/>
        <v/>
      </c>
      <c r="AA65" t="str">
        <f t="shared" si="16"/>
        <v/>
      </c>
      <c r="AC65" t="str">
        <f t="shared" si="17"/>
        <v/>
      </c>
      <c r="AE65" t="str">
        <f t="shared" si="18"/>
        <v/>
      </c>
    </row>
    <row r="66" spans="1:31" x14ac:dyDescent="0.2">
      <c r="M66" t="s">
        <v>8</v>
      </c>
      <c r="N66">
        <f>SUM(N54:N65)</f>
        <v>0</v>
      </c>
      <c r="O66">
        <f>SUM(O54:O65)</f>
        <v>0</v>
      </c>
      <c r="P66">
        <f>SUM(P54:P65)</f>
        <v>0</v>
      </c>
      <c r="Q66">
        <f>SUM(Q54:Q65)</f>
        <v>0</v>
      </c>
      <c r="S66">
        <f>SUM(S54:S65)</f>
        <v>3</v>
      </c>
      <c r="T66">
        <f>SUM(T54:T65)</f>
        <v>3</v>
      </c>
      <c r="U66">
        <f>SUM(U54:U65)</f>
        <v>1</v>
      </c>
      <c r="V66">
        <f>SUM(V54:V65)</f>
        <v>0</v>
      </c>
      <c r="Y66">
        <f>SUM(Y54:Y65)</f>
        <v>0</v>
      </c>
      <c r="AA66">
        <f>SUM(AA54:AA65)</f>
        <v>0</v>
      </c>
      <c r="AC66">
        <f>SUM(AC54:AC65)</f>
        <v>1</v>
      </c>
      <c r="AE66">
        <f>SUM(AE54:AE65)</f>
        <v>1</v>
      </c>
    </row>
    <row r="67" spans="1:31" x14ac:dyDescent="0.2">
      <c r="A67" s="1" t="s">
        <v>153</v>
      </c>
      <c r="C67" s="1" t="s">
        <v>158</v>
      </c>
      <c r="E67" s="1" t="s">
        <v>161</v>
      </c>
      <c r="G67" t="s">
        <v>160</v>
      </c>
      <c r="I67" s="44" t="s">
        <v>165</v>
      </c>
      <c r="K67" s="1" t="s">
        <v>166</v>
      </c>
    </row>
    <row r="68" spans="1:31" x14ac:dyDescent="0.2">
      <c r="A68" t="str">
        <f t="shared" ref="A68:A79" si="19">IF(ISBLANK(H4), "", I4)</f>
        <v/>
      </c>
      <c r="C68">
        <f t="shared" ref="C68:C79" si="20">IF(ISBLANK(B4),"",V4)</f>
        <v>0</v>
      </c>
      <c r="E68">
        <f t="shared" ref="E68:E79" si="21">IF(ISBLANK(B4), "", SUM(F4, I4, M4, P4, R4))</f>
        <v>0</v>
      </c>
      <c r="G68">
        <f>AVERAGE(E68:E79)</f>
        <v>6</v>
      </c>
      <c r="I68" t="str">
        <f>IF(ISBLANK(B4)+ISBLANK(C4), "", L4)</f>
        <v/>
      </c>
      <c r="K68" t="str">
        <f>IF(ISBLANK(B4)+ISBLANK(C4), "", M4)</f>
        <v/>
      </c>
    </row>
    <row r="69" spans="1:31" x14ac:dyDescent="0.2">
      <c r="A69" t="str">
        <f t="shared" si="19"/>
        <v/>
      </c>
      <c r="C69">
        <f t="shared" si="20"/>
        <v>0</v>
      </c>
      <c r="E69">
        <f t="shared" si="21"/>
        <v>9</v>
      </c>
      <c r="I69" t="str">
        <f t="shared" ref="I69:I79" si="22">IF(ISBLANK(B5)+ISBLANK(C5), "", L5)</f>
        <v/>
      </c>
      <c r="K69" t="str">
        <f t="shared" ref="K69:K79" si="23">IF(ISBLANK(B5)+ISBLANK(C5), "", M5)</f>
        <v/>
      </c>
    </row>
    <row r="70" spans="1:31" x14ac:dyDescent="0.2">
      <c r="A70" t="str">
        <f t="shared" si="19"/>
        <v/>
      </c>
      <c r="C70">
        <f t="shared" si="20"/>
        <v>1</v>
      </c>
      <c r="E70">
        <f t="shared" si="21"/>
        <v>3</v>
      </c>
      <c r="I70" t="str">
        <f t="shared" si="22"/>
        <v/>
      </c>
      <c r="K70" t="str">
        <f t="shared" si="23"/>
        <v/>
      </c>
    </row>
    <row r="71" spans="1:31" x14ac:dyDescent="0.2">
      <c r="A71">
        <f t="shared" si="19"/>
        <v>1</v>
      </c>
      <c r="C71">
        <f t="shared" si="20"/>
        <v>0</v>
      </c>
      <c r="E71">
        <f t="shared" si="21"/>
        <v>9</v>
      </c>
      <c r="I71" t="str">
        <f t="shared" si="22"/>
        <v/>
      </c>
      <c r="K71" t="str">
        <f t="shared" si="23"/>
        <v/>
      </c>
    </row>
    <row r="72" spans="1:31" x14ac:dyDescent="0.2">
      <c r="A72">
        <f t="shared" si="19"/>
        <v>1</v>
      </c>
      <c r="C72">
        <f t="shared" si="20"/>
        <v>0</v>
      </c>
      <c r="E72">
        <f t="shared" si="21"/>
        <v>8</v>
      </c>
      <c r="I72">
        <f t="shared" si="22"/>
        <v>7</v>
      </c>
      <c r="K72">
        <f t="shared" si="23"/>
        <v>7</v>
      </c>
    </row>
    <row r="73" spans="1:31" x14ac:dyDescent="0.2">
      <c r="A73">
        <f t="shared" si="19"/>
        <v>1</v>
      </c>
      <c r="C73">
        <f t="shared" si="20"/>
        <v>0</v>
      </c>
      <c r="E73">
        <f t="shared" si="21"/>
        <v>6</v>
      </c>
      <c r="I73" t="str">
        <f t="shared" si="22"/>
        <v/>
      </c>
      <c r="K73" t="str">
        <f t="shared" si="23"/>
        <v/>
      </c>
    </row>
    <row r="74" spans="1:31" x14ac:dyDescent="0.2">
      <c r="A74">
        <f t="shared" si="19"/>
        <v>0</v>
      </c>
      <c r="C74">
        <f t="shared" si="20"/>
        <v>0</v>
      </c>
      <c r="E74">
        <f t="shared" si="21"/>
        <v>7</v>
      </c>
      <c r="I74" t="str">
        <f t="shared" si="22"/>
        <v/>
      </c>
      <c r="K74" t="str">
        <f t="shared" si="23"/>
        <v/>
      </c>
    </row>
    <row r="75" spans="1:31" x14ac:dyDescent="0.2">
      <c r="A75" t="str">
        <f t="shared" si="19"/>
        <v/>
      </c>
      <c r="C75">
        <f t="shared" si="20"/>
        <v>0</v>
      </c>
      <c r="E75">
        <f t="shared" si="21"/>
        <v>4</v>
      </c>
      <c r="I75" t="str">
        <f t="shared" si="22"/>
        <v/>
      </c>
      <c r="K75" t="str">
        <f t="shared" si="23"/>
        <v/>
      </c>
    </row>
    <row r="76" spans="1:31" x14ac:dyDescent="0.2">
      <c r="A76" t="str">
        <f t="shared" si="19"/>
        <v/>
      </c>
      <c r="C76">
        <f t="shared" si="20"/>
        <v>0</v>
      </c>
      <c r="E76">
        <f t="shared" si="21"/>
        <v>7</v>
      </c>
      <c r="I76" t="str">
        <f t="shared" si="22"/>
        <v/>
      </c>
      <c r="K76" t="str">
        <f t="shared" si="23"/>
        <v/>
      </c>
    </row>
    <row r="77" spans="1:31" x14ac:dyDescent="0.2">
      <c r="A77" t="str">
        <f t="shared" si="19"/>
        <v/>
      </c>
      <c r="C77">
        <f t="shared" si="20"/>
        <v>0</v>
      </c>
      <c r="E77">
        <f t="shared" si="21"/>
        <v>11</v>
      </c>
      <c r="I77">
        <f t="shared" si="22"/>
        <v>10</v>
      </c>
      <c r="K77">
        <f t="shared" si="23"/>
        <v>10</v>
      </c>
    </row>
    <row r="78" spans="1:31" x14ac:dyDescent="0.2">
      <c r="A78" t="str">
        <f t="shared" si="19"/>
        <v/>
      </c>
      <c r="C78">
        <f t="shared" si="20"/>
        <v>0</v>
      </c>
      <c r="E78">
        <f t="shared" si="21"/>
        <v>7</v>
      </c>
      <c r="I78">
        <f t="shared" si="22"/>
        <v>7</v>
      </c>
      <c r="K78">
        <f t="shared" si="23"/>
        <v>6</v>
      </c>
    </row>
    <row r="79" spans="1:31" x14ac:dyDescent="0.2">
      <c r="A79" t="str">
        <f t="shared" si="19"/>
        <v/>
      </c>
      <c r="C79">
        <f t="shared" si="20"/>
        <v>0</v>
      </c>
      <c r="E79">
        <f t="shared" si="21"/>
        <v>1</v>
      </c>
      <c r="I79">
        <f t="shared" si="22"/>
        <v>1</v>
      </c>
      <c r="K79">
        <f t="shared" si="23"/>
        <v>1</v>
      </c>
    </row>
    <row r="80" spans="1:31" x14ac:dyDescent="0.2">
      <c r="H80" t="s">
        <v>168</v>
      </c>
      <c r="I80">
        <f>SUM(I68:I79)</f>
        <v>25</v>
      </c>
      <c r="K80">
        <f>SUM(K68:K79)</f>
        <v>24</v>
      </c>
    </row>
    <row r="81" spans="1:8" x14ac:dyDescent="0.2">
      <c r="B81" s="1" t="s">
        <v>177</v>
      </c>
      <c r="D81" s="1" t="s">
        <v>176</v>
      </c>
      <c r="F81" s="1" t="s">
        <v>178</v>
      </c>
      <c r="H81" s="1" t="s">
        <v>175</v>
      </c>
    </row>
    <row r="82" spans="1:8" x14ac:dyDescent="0.2">
      <c r="B82" t="str">
        <f>IF(E4 &gt;= 2, 2, "")</f>
        <v/>
      </c>
      <c r="D82" t="str">
        <f>IF(E4 &gt;= 2, IF(F4 &gt; 2, 2, F4), "")</f>
        <v/>
      </c>
      <c r="F82" t="str">
        <f>IF(H4 &gt;= 2, 2, "")</f>
        <v/>
      </c>
      <c r="H82" t="str">
        <f>IF(H4 &gt;= 2, IF(I4 &gt; 2, 2, I4), "")</f>
        <v/>
      </c>
    </row>
    <row r="83" spans="1:8" x14ac:dyDescent="0.2">
      <c r="B83" t="str">
        <f t="shared" ref="B83:B93" si="24">IF(E5 &gt;= 2, 2, "")</f>
        <v/>
      </c>
      <c r="D83" t="str">
        <f t="shared" ref="D83:D93" si="25">IF(E5 &gt;= 2, IF(F5 &gt; 2, 2, F5), "")</f>
        <v/>
      </c>
      <c r="F83" t="str">
        <f t="shared" ref="F83:F93" si="26">IF(H5 &gt;= 2, 2, "")</f>
        <v/>
      </c>
      <c r="H83" t="str">
        <f t="shared" ref="H83:H93" si="27">IF(H5 &gt;= 2, IF(I5 &gt; 2, 2, I5), "")</f>
        <v/>
      </c>
    </row>
    <row r="84" spans="1:8" x14ac:dyDescent="0.2">
      <c r="B84" t="str">
        <f t="shared" si="24"/>
        <v/>
      </c>
      <c r="D84" t="str">
        <f t="shared" si="25"/>
        <v/>
      </c>
      <c r="F84" t="str">
        <f t="shared" si="26"/>
        <v/>
      </c>
      <c r="H84" t="str">
        <f t="shared" si="27"/>
        <v/>
      </c>
    </row>
    <row r="85" spans="1:8" x14ac:dyDescent="0.2">
      <c r="B85" t="str">
        <f t="shared" si="24"/>
        <v/>
      </c>
      <c r="D85" t="str">
        <f t="shared" si="25"/>
        <v/>
      </c>
      <c r="F85" t="str">
        <f t="shared" si="26"/>
        <v/>
      </c>
      <c r="H85" t="str">
        <f t="shared" si="27"/>
        <v/>
      </c>
    </row>
    <row r="86" spans="1:8" x14ac:dyDescent="0.2">
      <c r="B86" t="str">
        <f t="shared" si="24"/>
        <v/>
      </c>
      <c r="D86" t="str">
        <f t="shared" si="25"/>
        <v/>
      </c>
      <c r="F86" t="str">
        <f t="shared" si="26"/>
        <v/>
      </c>
      <c r="H86" t="str">
        <f t="shared" si="27"/>
        <v/>
      </c>
    </row>
    <row r="87" spans="1:8" x14ac:dyDescent="0.2">
      <c r="B87" t="str">
        <f t="shared" si="24"/>
        <v/>
      </c>
      <c r="D87" t="str">
        <f t="shared" si="25"/>
        <v/>
      </c>
      <c r="F87" t="str">
        <f t="shared" si="26"/>
        <v/>
      </c>
      <c r="H87" t="str">
        <f t="shared" si="27"/>
        <v/>
      </c>
    </row>
    <row r="88" spans="1:8" x14ac:dyDescent="0.2">
      <c r="B88" t="str">
        <f t="shared" si="24"/>
        <v/>
      </c>
      <c r="D88" t="str">
        <f t="shared" si="25"/>
        <v/>
      </c>
      <c r="F88" t="str">
        <f t="shared" si="26"/>
        <v/>
      </c>
      <c r="H88" t="str">
        <f t="shared" si="27"/>
        <v/>
      </c>
    </row>
    <row r="89" spans="1:8" x14ac:dyDescent="0.2">
      <c r="B89" t="str">
        <f t="shared" si="24"/>
        <v/>
      </c>
      <c r="D89" t="str">
        <f t="shared" si="25"/>
        <v/>
      </c>
      <c r="F89" t="str">
        <f t="shared" si="26"/>
        <v/>
      </c>
      <c r="H89" t="str">
        <f t="shared" si="27"/>
        <v/>
      </c>
    </row>
    <row r="90" spans="1:8" x14ac:dyDescent="0.2">
      <c r="B90" t="str">
        <f t="shared" si="24"/>
        <v/>
      </c>
      <c r="D90" t="str">
        <f t="shared" si="25"/>
        <v/>
      </c>
      <c r="F90" t="str">
        <f t="shared" si="26"/>
        <v/>
      </c>
      <c r="H90" t="str">
        <f t="shared" si="27"/>
        <v/>
      </c>
    </row>
    <row r="91" spans="1:8" x14ac:dyDescent="0.2">
      <c r="B91" t="str">
        <f t="shared" si="24"/>
        <v/>
      </c>
      <c r="D91" t="str">
        <f t="shared" si="25"/>
        <v/>
      </c>
      <c r="F91" t="str">
        <f t="shared" si="26"/>
        <v/>
      </c>
      <c r="H91" t="str">
        <f t="shared" si="27"/>
        <v/>
      </c>
    </row>
    <row r="92" spans="1:8" x14ac:dyDescent="0.2">
      <c r="B92" t="str">
        <f t="shared" si="24"/>
        <v/>
      </c>
      <c r="D92" t="str">
        <f t="shared" si="25"/>
        <v/>
      </c>
      <c r="F92" t="str">
        <f t="shared" si="26"/>
        <v/>
      </c>
      <c r="H92" t="str">
        <f t="shared" si="27"/>
        <v/>
      </c>
    </row>
    <row r="93" spans="1:8" x14ac:dyDescent="0.2">
      <c r="B93" t="str">
        <f t="shared" si="24"/>
        <v/>
      </c>
      <c r="D93" t="str">
        <f t="shared" si="25"/>
        <v/>
      </c>
      <c r="F93" t="str">
        <f t="shared" si="26"/>
        <v/>
      </c>
      <c r="H93" t="str">
        <f t="shared" si="27"/>
        <v/>
      </c>
    </row>
    <row r="94" spans="1:8" x14ac:dyDescent="0.2">
      <c r="A94" t="s">
        <v>168</v>
      </c>
      <c r="B94">
        <f>SUM(B82:B93)</f>
        <v>0</v>
      </c>
      <c r="D94">
        <f>SUM(D82:D93)</f>
        <v>0</v>
      </c>
      <c r="F94">
        <f>SUM(F82:F93)</f>
        <v>0</v>
      </c>
      <c r="H94">
        <f>SUM(H82:H93)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64</vt:i4>
      </vt:variant>
    </vt:vector>
  </HeadingPairs>
  <TitlesOfParts>
    <vt:vector size="64" baseType="lpstr">
      <vt:lpstr>Match Planning</vt:lpstr>
      <vt:lpstr>Summary Statistics</vt:lpstr>
      <vt:lpstr>Picklisting</vt:lpstr>
      <vt:lpstr>Input</vt:lpstr>
      <vt:lpstr>11</vt:lpstr>
      <vt:lpstr>25</vt:lpstr>
      <vt:lpstr>41</vt:lpstr>
      <vt:lpstr>56</vt:lpstr>
      <vt:lpstr>75</vt:lpstr>
      <vt:lpstr>102</vt:lpstr>
      <vt:lpstr>103</vt:lpstr>
      <vt:lpstr>203</vt:lpstr>
      <vt:lpstr>219</vt:lpstr>
      <vt:lpstr>222</vt:lpstr>
      <vt:lpstr>223</vt:lpstr>
      <vt:lpstr>225</vt:lpstr>
      <vt:lpstr>272</vt:lpstr>
      <vt:lpstr>293</vt:lpstr>
      <vt:lpstr>303</vt:lpstr>
      <vt:lpstr>316</vt:lpstr>
      <vt:lpstr>321</vt:lpstr>
      <vt:lpstr>365</vt:lpstr>
      <vt:lpstr>433</vt:lpstr>
      <vt:lpstr>708</vt:lpstr>
      <vt:lpstr>747</vt:lpstr>
      <vt:lpstr>834</vt:lpstr>
      <vt:lpstr>1089</vt:lpstr>
      <vt:lpstr>1143</vt:lpstr>
      <vt:lpstr>1218</vt:lpstr>
      <vt:lpstr>1257</vt:lpstr>
      <vt:lpstr>1391</vt:lpstr>
      <vt:lpstr>1403</vt:lpstr>
      <vt:lpstr>1640</vt:lpstr>
      <vt:lpstr>1676</vt:lpstr>
      <vt:lpstr>1712</vt:lpstr>
      <vt:lpstr>1807</vt:lpstr>
      <vt:lpstr>1923</vt:lpstr>
      <vt:lpstr>1989</vt:lpstr>
      <vt:lpstr>2016</vt:lpstr>
      <vt:lpstr>2180</vt:lpstr>
      <vt:lpstr>2495</vt:lpstr>
      <vt:lpstr>2539</vt:lpstr>
      <vt:lpstr>2590</vt:lpstr>
      <vt:lpstr>2600</vt:lpstr>
      <vt:lpstr>2607</vt:lpstr>
      <vt:lpstr>2729</vt:lpstr>
      <vt:lpstr>3142</vt:lpstr>
      <vt:lpstr>3314</vt:lpstr>
      <vt:lpstr>3637</vt:lpstr>
      <vt:lpstr>3929</vt:lpstr>
      <vt:lpstr>3974</vt:lpstr>
      <vt:lpstr>4342</vt:lpstr>
      <vt:lpstr>4361</vt:lpstr>
      <vt:lpstr>4653</vt:lpstr>
      <vt:lpstr>5401</vt:lpstr>
      <vt:lpstr>5404</vt:lpstr>
      <vt:lpstr>5407</vt:lpstr>
      <vt:lpstr>5420</vt:lpstr>
      <vt:lpstr>5895</vt:lpstr>
      <vt:lpstr>5992</vt:lpstr>
      <vt:lpstr>6203</vt:lpstr>
      <vt:lpstr>6860</vt:lpstr>
      <vt:lpstr>6945</vt:lpstr>
      <vt:lpstr>1168</vt:lpstr>
    </vt:vector>
  </TitlesOfParts>
  <Company>Lower Merion School District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 Levitan (student LM)</dc:creator>
  <cp:lastModifiedBy>Microsoft Office User</cp:lastModifiedBy>
  <dcterms:created xsi:type="dcterms:W3CDTF">2017-01-19T22:01:31Z</dcterms:created>
  <dcterms:modified xsi:type="dcterms:W3CDTF">2018-08-19T13:59:27Z</dcterms:modified>
</cp:coreProperties>
</file>